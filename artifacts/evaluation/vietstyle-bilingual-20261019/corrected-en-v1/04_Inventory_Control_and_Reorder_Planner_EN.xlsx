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Inventory Control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1" hidden="1">'Policy Matrix'!$A$4:$G$16</definedName>
    <definedName name="_xlnm._FilterDatabase" localSheetId="2" hidden="1">'Inventory Control'!$A$4:$AE$428</definedName>
    <definedName name="_xlnm._FilterDatabase" localSheetId="4" hidden="1">'Exception Log'!$A$4:$K$104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28303A"/>
      <sz val="9"/>
    </font>
    <font>
      <b val="1"/>
      <color rgb="00FFFFFF"/>
    </font>
    <font>
      <color rgb="0028303A"/>
      <sz val="9"/>
    </font>
    <font>
      <name val="Aptos"/>
      <b val="1"/>
      <color rgb="00FFFFFF"/>
      <sz val="9"/>
    </font>
    <font>
      <color rgb="0028303A"/>
      <sz val="8"/>
    </font>
    <font>
      <b val="1"/>
      <color rgb="0012304A"/>
      <sz val="12"/>
    </font>
  </fonts>
  <fills count="9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DCEAF2"/>
      </patternFill>
    </fill>
    <fill>
      <patternFill patternType="solid">
        <fgColor rgb="00176B87"/>
      </patternFill>
    </fill>
    <fill>
      <patternFill patternType="solid">
        <fgColor rgb="00F3F6F8"/>
      </patternFill>
    </fill>
    <fill>
      <patternFill patternType="solid">
        <fgColor rgb="00FFF8E1"/>
      </patternFill>
    </fill>
    <fill>
      <patternFill patternType="solid">
        <fgColor rgb="00F8FAFB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D5DDE5"/>
      </bottom>
    </border>
    <border>
      <bottom style="medium">
        <color rgb="0012304A"/>
      </bottom>
    </border>
    <border>
      <bottom style="hair">
        <color rgb="00E3E8E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0" borderId="3" applyAlignment="1" pivotButton="0" quotePrefix="0" xfId="0">
      <alignment vertical="top"/>
    </xf>
    <xf numFmtId="4" fontId="6" fillId="0" borderId="3" applyAlignment="1" pivotButton="0" quotePrefix="0" xfId="0">
      <alignment vertical="top"/>
    </xf>
    <xf numFmtId="164" fontId="6" fillId="0" borderId="3" applyAlignment="1" pivotButton="0" quotePrefix="0" xfId="0">
      <alignment vertical="top"/>
    </xf>
    <xf numFmtId="3" fontId="6" fillId="6" borderId="3" applyAlignment="1" pivotButton="0" quotePrefix="0" xfId="0">
      <alignment vertical="top"/>
    </xf>
    <xf numFmtId="0" fontId="6" fillId="7" borderId="3" applyAlignment="1" pivotButton="0" quotePrefix="0" xfId="0">
      <alignment vertical="top"/>
    </xf>
    <xf numFmtId="0" fontId="6" fillId="7" borderId="3" applyAlignment="1" pivotButton="0" quotePrefix="0" xfId="0">
      <alignment vertical="top" wrapText="1"/>
    </xf>
    <xf numFmtId="3" fontId="6" fillId="7" borderId="3" applyAlignment="1" pivotButton="0" quotePrefix="0" xfId="0">
      <alignment vertical="top"/>
    </xf>
    <xf numFmtId="4" fontId="6" fillId="7" borderId="3" applyAlignment="1" pivotButton="0" quotePrefix="0" xfId="0">
      <alignment vertical="top"/>
    </xf>
    <xf numFmtId="164" fontId="6" fillId="7" borderId="3" applyAlignment="1" pivotButton="0" quotePrefix="0" xfId="0">
      <alignment vertical="top"/>
    </xf>
    <xf numFmtId="164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4" borderId="0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6" fillId="8" borderId="3" applyAlignment="1" pivotButton="0" quotePrefix="0" xfId="0">
      <alignment vertical="top"/>
    </xf>
    <xf numFmtId="0" fontId="6" fillId="8" borderId="3" applyAlignment="1" pivotButton="0" quotePrefix="0" xfId="0">
      <alignment vertical="top" wrapText="1"/>
    </xf>
    <xf numFmtId="165" fontId="6" fillId="8" borderId="3" applyAlignment="1" pivotButton="0" quotePrefix="0" xfId="0">
      <alignment vertical="top"/>
    </xf>
    <xf numFmtId="164" fontId="6" fillId="8" borderId="3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olicyMatrix" displayName="PolicyMatrix" ref="A4:G16" headerRowCount="1">
  <autoFilter ref="A4:G16"/>
  <tableColumns count="7">
    <tableColumn id="1" name="Policy ID"/>
    <tableColumn id="2" name="Chính sách"/>
    <tableColumn id="3" name="Trigger"/>
    <tableColumn id="4" name="Hành động bắt buộc"/>
    <tableColumn id="5" name="Owner"/>
    <tableColumn id="6" name="SLA / Tần suất"/>
    <tableColumn id="7" name="Approv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0" customHeight="1">
      <c r="A1" s="1" t="inlineStr">
        <is>
          <t>VietStyle Commerce | Inventory Control Workbook</t>
        </is>
      </c>
    </row>
    <row r="2" ht="32" customHeight="1">
      <c r="A2" s="2" t="inlineStr">
        <is>
          <t>For inventory policy simulation using Datathon 2026. This is not a production WMS/ERP system.</t>
        </is>
      </c>
    </row>
    <row r="3"/>
    <row r="4">
      <c r="A4" s="3" t="inlineStr">
        <is>
          <t>Item</t>
        </is>
      </c>
      <c r="B4" s="3" t="inlineStr">
        <is>
          <t>Content</t>
        </is>
      </c>
    </row>
    <row r="5" ht="34" customHeight="1">
      <c r="A5" s="4" t="inlineStr">
        <is>
          <t>Data source</t>
        </is>
      </c>
      <c r="B5" s="4" t="inlineStr">
        <is>
          <t>datathon-2026-round-1.zip: inventory.csv, products.csv, promotions.csv, returns.csv, orders.csv, sales.csv.</t>
        </is>
      </c>
    </row>
    <row r="6" ht="34" customHeight="1">
      <c r="A6" s="5" t="inlineStr">
        <is>
          <t>Scope</t>
        </is>
      </c>
      <c r="B6" s="5" t="inlineStr">
        <is>
          <t>2,412 SKUs in products.csv; 60,247 inventory snapshot records; inventory data from 2012-07-31 to 2022-12-31.</t>
        </is>
      </c>
    </row>
    <row r="7" ht="34" customHeight="1">
      <c r="A7" s="4" t="inlineStr">
        <is>
          <t>Sample snapshot</t>
        </is>
      </c>
      <c r="B7" s="4" t="inlineStr">
        <is>
          <t>2022-12-31 — 424 SKUs have records in the latest snapshot. This does not represent current inventory.</t>
        </is>
      </c>
    </row>
    <row r="8" ht="34" customHeight="1">
      <c r="A8" s="5" t="inlineStr">
        <is>
          <t>Demand calculation</t>
        </is>
      </c>
      <c r="B8" s="5" t="inlineStr">
        <is>
          <t>Avg monthly demand = average units_sold across up to 3 most recent available snapshots for the SKU. These may not be 3 consecutive months.</t>
        </is>
      </c>
    </row>
    <row r="9" ht="34" customHeight="1">
      <c r="A9" s="4" t="inlineStr">
        <is>
          <t>Assumed parameters</t>
        </is>
      </c>
      <c r="B9" s="4" t="inlineStr">
        <is>
          <t>Lead time = 14 days; safety stock = 7 days; review period = 7 days. Adjust by supplier / SKU before use.</t>
        </is>
      </c>
    </row>
    <row r="10" ht="34" customHeight="1">
      <c r="A10" s="5" t="inlineStr">
        <is>
          <t>ROP</t>
        </is>
      </c>
      <c r="B10" s="5" t="inlineStr">
        <is>
          <t>Avg daily demand × (Lead time + Safety days). Avg daily demand = Avg monthly demand / 30.</t>
        </is>
      </c>
    </row>
    <row r="11" ht="34" customHeight="1">
      <c r="A11" s="4" t="inlineStr">
        <is>
          <t>Target stock</t>
        </is>
      </c>
      <c r="B11" s="4" t="inlineStr">
        <is>
          <t>Avg daily demand × (Lead time + Safety days + Review period).</t>
        </is>
      </c>
    </row>
    <row r="12" ht="34" customHeight="1">
      <c r="A12" s="5" t="inlineStr">
        <is>
          <t>Inventory position</t>
        </is>
      </c>
      <c r="B12" s="5" t="inlineStr">
        <is>
          <t>On-hand + Open PO − Backorder. The dataset has no Open PO / Backorder data; the workbook defaults to 0 and requires actual values to be entered.</t>
        </is>
      </c>
    </row>
    <row r="13" ht="34" customHeight="1">
      <c r="A13" s="4" t="inlineStr">
        <is>
          <t>Stockout signal</t>
        </is>
      </c>
      <c r="B13" s="4" t="inlineStr">
        <is>
          <t>stockout_days ≥ 1 or fill_rate &lt; 95% or calculated days of supply ≤ 14 days.</t>
        </is>
      </c>
    </row>
    <row r="14" ht="34" customHeight="1">
      <c r="A14" s="5" t="inlineStr">
        <is>
          <t>Overstock signal</t>
        </is>
      </c>
      <c r="B14" s="5" t="inlineStr">
        <is>
          <t>Calculated days of supply &gt; 120 days. &gt;180 days requires a handling plan under the policy.</t>
        </is>
      </c>
    </row>
    <row r="15" ht="34" customHeight="1">
      <c r="A15" s="4" t="inlineStr">
        <is>
          <t>Conflict gate</t>
        </is>
      </c>
      <c r="B15" s="4" t="inlineStr">
        <is>
          <t>If a stockout signal occurs while calculated days of supply &gt;120 days, set DATA CONFLICT; do not automatically recommend a PO.</t>
        </is>
      </c>
    </row>
    <row r="16" ht="34" customHeight="1">
      <c r="A16" s="5" t="inlineStr">
        <is>
          <t>Limitations</t>
        </is>
      </c>
      <c r="B16" s="5" t="inlineStr">
        <is>
          <t>The dataset does not confirm currency, inbound lead time, MOQ, warehouse/location, open POs, or backorders. The source reorder_flag is always 0.</t>
        </is>
      </c>
    </row>
    <row r="17" ht="34" customHeight="1">
      <c r="A17" s="4" t="inlineStr">
        <is>
          <t>Instructions</t>
        </is>
      </c>
      <c r="B17" s="4" t="inlineStr">
        <is>
          <t>Enter actual Open PO / Backorder and lead time; review KPI Summary; filter Inventory Control by Priority / Policy Decision; verify every DATA CONFLICT.</t>
        </is>
      </c>
    </row>
    <row r="18" ht="34" customHeight="1">
      <c r="A18" s="5" t="inlineStr">
        <is>
          <t>Disclaimer</t>
        </is>
      </c>
      <c r="B18" s="5" t="inlineStr">
        <is>
          <t>SIMULATION DOCUMENT FOR DATATHON 2026. Operating thresholds, lead times, KPIs, and approval levels are simulated proposals that must be approved by the business owner before real-world use. The dataset does not clearly specify currency and does not provide inbound PO, warehouse-level inventory, or backorder data. Do not treat sample results as current inventory figures.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58" customWidth="1" min="4" max="4"/>
    <col width="27" customWidth="1" min="5" max="5"/>
    <col width="22" customWidth="1" min="6" max="6"/>
    <col width="25" customWidth="1" min="7" max="7"/>
  </cols>
  <sheetData>
    <row r="1" ht="30" customHeight="1">
      <c r="A1" s="1" t="inlineStr">
        <is>
          <t>Policy Matrix | Thresholds &amp; Responsibilities</t>
        </is>
      </c>
    </row>
    <row r="2" ht="32" customHeight="1">
      <c r="A2" s="2" t="inlineStr">
        <is>
          <t>The thresholds below are simulation assumptions and require approval before real-world use.</t>
        </is>
      </c>
    </row>
    <row r="3"/>
    <row r="4" ht="32" customHeight="1">
      <c r="A4" s="6" t="inlineStr">
        <is>
          <t>Policy ID</t>
        </is>
      </c>
      <c r="B4" s="6" t="inlineStr">
        <is>
          <t>Policy</t>
        </is>
      </c>
      <c r="C4" s="6" t="inlineStr">
        <is>
          <t>Trigger</t>
        </is>
      </c>
      <c r="D4" s="6" t="inlineStr">
        <is>
          <t>Required action</t>
        </is>
      </c>
      <c r="E4" s="6" t="inlineStr">
        <is>
          <t>Owner</t>
        </is>
      </c>
      <c r="F4" s="6" t="inlineStr">
        <is>
          <t>SLA / Frequency</t>
        </is>
      </c>
      <c r="G4" s="6" t="inlineStr">
        <is>
          <t>Approval</t>
        </is>
      </c>
    </row>
    <row r="5" ht="58" customHeight="1">
      <c r="A5" s="4" t="inlineStr">
        <is>
          <t>INV-POL-001</t>
        </is>
      </c>
      <c r="B5" s="4" t="inlineStr">
        <is>
          <t>Inventory Data Governance</t>
        </is>
      </c>
      <c r="C5" s="4" t="inlineStr">
        <is>
          <t>Any change to SKU, inventory, COGS, or item status</t>
        </is>
      </c>
      <c r="D5" s="4" t="inlineStr">
        <is>
          <t>Record the operator, timestamp, before/after values, and reason; never overwrite history</t>
        </is>
      </c>
      <c r="E5" s="4" t="inlineStr">
        <is>
          <t>Inventory Controller / Data Owner</t>
        </is>
      </c>
      <c r="F5" s="4" t="inlineStr">
        <is>
          <t>Within the day</t>
        </is>
      </c>
      <c r="G5" s="4" t="inlineStr">
        <is>
          <t>Required</t>
        </is>
      </c>
    </row>
    <row r="6" ht="58" customHeight="1">
      <c r="A6" s="5" t="inlineStr">
        <is>
          <t>INV-POL-002</t>
        </is>
      </c>
      <c r="B6" s="5" t="inlineStr">
        <is>
          <t>Replenishment</t>
        </is>
      </c>
      <c r="C6" s="5" t="inlineStr">
        <is>
          <t>Inventory position &lt;= reorder point, with no unresolved data alerts</t>
        </is>
      </c>
      <c r="D6" s="5" t="inlineStr">
        <is>
          <t>Propose a PO based on target stock; check open POs, backorders, MOQ, and budget before submitting for approval</t>
        </is>
      </c>
      <c r="E6" s="5" t="inlineStr">
        <is>
          <t>Planner + Procurement</t>
        </is>
      </c>
      <c r="F6" s="5" t="inlineStr">
        <is>
          <t>Review weekly</t>
        </is>
      </c>
      <c r="G6" s="5" t="inlineStr">
        <is>
          <t>Per purchasing authority limits</t>
        </is>
      </c>
    </row>
    <row r="7" ht="58" customHeight="1">
      <c r="A7" s="4" t="inlineStr">
        <is>
          <t>INV-POL-003</t>
        </is>
      </c>
      <c r="B7" s="4" t="inlineStr">
        <is>
          <t>Inventory Conflict Verification</t>
        </is>
      </c>
      <c r="C7" s="4" t="inlineStr">
        <is>
          <t>A stockout/low-service signal occurs with &gt;120 days of supply, or stockout and overstock flags are both enabled</t>
        </is>
      </c>
      <c r="D7" s="4" t="inlineStr">
        <is>
          <t>Temporarily block automatic POs; check transactions, snapshot, pending orders, and demand calculations</t>
        </is>
      </c>
      <c r="E7" s="4" t="inlineStr">
        <is>
          <t>Inventory Controller</t>
        </is>
      </c>
      <c r="F7" s="4" t="inlineStr">
        <is>
          <t>P1 within 1 business day</t>
        </is>
      </c>
      <c r="G7" s="4" t="inlineStr">
        <is>
          <t>Warehouse Manager approves the conclusion</t>
        </is>
      </c>
    </row>
    <row r="8" ht="58" customHeight="1">
      <c r="A8" s="5" t="inlineStr">
        <is>
          <t>INV-POL-004</t>
        </is>
      </c>
      <c r="B8" s="5" t="inlineStr">
        <is>
          <t>ABC Cycle Counting</t>
        </is>
      </c>
      <c r="C8" s="5" t="inlineStr">
        <is>
          <t>A/B/C SKUs classified by annual consumption value</t>
        </is>
      </c>
      <c r="D8" s="5" t="inlineStr">
        <is>
          <t>A: weekly; B: monthly; C: quarterly; use blind counts and independent reconciliation</t>
        </is>
      </c>
      <c r="E8" s="5" t="inlineStr">
        <is>
          <t>Warehouse Supervisor</t>
        </is>
      </c>
      <c r="F8" s="5" t="inlineStr">
        <is>
          <t>As scheduled</t>
        </is>
      </c>
      <c r="G8" s="5" t="inlineStr">
        <is>
          <t>Variances above threshold require approval</t>
        </is>
      </c>
    </row>
    <row r="9" ht="58" customHeight="1">
      <c r="A9" s="4" t="inlineStr">
        <is>
          <t>INV-POL-005</t>
        </is>
      </c>
      <c r="B9" s="4" t="inlineStr">
        <is>
          <t>Inventory Adjustment</t>
        </is>
      </c>
      <c r="C9" s="4" t="inlineStr">
        <is>
          <t>A variance exists between physical count and system quantity</t>
        </is>
      </c>
      <c r="D9" s="4" t="inlineStr">
        <is>
          <t>Do not adjust without a report, reason code, and evidence; separate the counter and approver</t>
        </is>
      </c>
      <c r="E9" s="4" t="inlineStr">
        <is>
          <t>Warehouse Supervisor + Inventory Controller</t>
        </is>
      </c>
      <c r="F9" s="4" t="inlineStr">
        <is>
          <t>Within 1 business day</t>
        </is>
      </c>
      <c r="G9" s="4" t="inlineStr">
        <is>
          <t>Large variances require Finance/Operations</t>
        </is>
      </c>
    </row>
    <row r="10" ht="58" customHeight="1">
      <c r="A10" s="5" t="inlineStr">
        <is>
          <t>INV-POL-006</t>
        </is>
      </c>
      <c r="B10" s="5" t="inlineStr">
        <is>
          <t>Excess / Slow-Moving Inventory</t>
        </is>
      </c>
      <c r="C10" s="5" t="inlineStr">
        <is>
          <t>Calculated days of supply &gt;120 days; a handling plan is required above 180 days</t>
        </is>
      </c>
      <c r="D10" s="5" t="inlineStr">
        <is>
          <t>Stop replenishment; review transfers, bundles, markdowns, or disposal while protecting margin</t>
        </is>
      </c>
      <c r="E10" s="5" t="inlineStr">
        <is>
          <t>Merchandising + Procurement</t>
        </is>
      </c>
      <c r="F10" s="5" t="inlineStr">
        <is>
          <t>Review monthly</t>
        </is>
      </c>
      <c r="G10" s="5" t="inlineStr">
        <is>
          <t>Markdowns subject to pricing authority</t>
        </is>
      </c>
    </row>
    <row r="11" ht="58" customHeight="1">
      <c r="A11" s="4" t="inlineStr">
        <is>
          <t>INV-POL-007</t>
        </is>
      </c>
      <c r="B11" s="4" t="inlineStr">
        <is>
          <t>Returned Goods</t>
        </is>
      </c>
      <c r="C11" s="4" t="inlineStr">
        <is>
          <t>Customer return received</t>
        </is>
      </c>
      <c r="D11" s="4" t="inlineStr">
        <is>
          <t>Quarantine until QA classifies it: A-grade resale; B-grade repair/repack; C-grade damaged or missing accessories handled separately</t>
        </is>
      </c>
      <c r="E11" s="4" t="inlineStr">
        <is>
          <t>Returns QA + Warehouse</t>
        </is>
      </c>
      <c r="F11" s="4" t="inlineStr">
        <is>
          <t>Within 2 business days</t>
        </is>
      </c>
      <c r="G11" s="4" t="inlineStr">
        <is>
          <t>Scrapping/write-offs require approval</t>
        </is>
      </c>
    </row>
    <row r="12" ht="58" customHeight="1">
      <c r="A12" s="5" t="inlineStr">
        <is>
          <t>INV-POL-008</t>
        </is>
      </c>
      <c r="B12" s="5" t="inlineStr">
        <is>
          <t>Promotion Management</t>
        </is>
      </c>
      <c r="C12" s="5" t="inlineStr">
        <is>
          <t>A campaign/promotion is scheduled</t>
        </is>
      </c>
      <c r="D12" s="5" t="inlineStr">
        <is>
          <t>Forecast demand at least four weeks ahead; check inventory, lead time, stackable_flag, and discount; finalize the plan after approval</t>
        </is>
      </c>
      <c r="E12" s="5" t="inlineStr">
        <is>
          <t>Merchandising + Planner</t>
        </is>
      </c>
      <c r="F12" s="5" t="inlineStr">
        <is>
          <t>T-4 weeks</t>
        </is>
      </c>
      <c r="G12" s="5" t="inlineStr">
        <is>
          <t>Do not stack promotions unless authorized</t>
        </is>
      </c>
    </row>
    <row r="13" ht="58" customHeight="1">
      <c r="A13" s="4" t="inlineStr">
        <is>
          <t>INV-POL-009</t>
        </is>
      </c>
      <c r="B13" s="4" t="inlineStr">
        <is>
          <t>Supplier Control</t>
        </is>
      </c>
      <c r="C13" s="4" t="inlineStr">
        <is>
          <t>Creating a PO or evaluating a supplier</t>
        </is>
      </c>
      <c r="D13" s="4" t="inlineStr">
        <is>
          <t>Maintain actual lead times, MOQ, delivery schedules, and fill/on-time delivery rates; update after each receipt</t>
        </is>
      </c>
      <c r="E13" s="4" t="inlineStr">
        <is>
          <t>Procurement</t>
        </is>
      </c>
      <c r="F13" s="4" t="inlineStr">
        <is>
          <t>Each receipt / monthly</t>
        </is>
      </c>
      <c r="G13" s="4" t="inlineStr">
        <is>
          <t>The 14-day lead time is only a default assumption</t>
        </is>
      </c>
    </row>
    <row r="14" ht="58" customHeight="1">
      <c r="A14" s="5" t="inlineStr">
        <is>
          <t>INV-POL-010</t>
        </is>
      </c>
      <c r="B14" s="5" t="inlineStr">
        <is>
          <t>Defective / Quarantined Goods</t>
        </is>
      </c>
      <c r="C14" s="5" t="inlineStr">
        <is>
          <t>SKU is defective, suspected counterfeit, mislabeled, or involved in a serious discrepancy</t>
        </is>
      </c>
      <c r="D14" s="5" t="inlineStr">
        <is>
          <t>Set status to HOLD/QUARANTINE; do not sell or include in available-to-promise until a decision is made</t>
        </is>
      </c>
      <c r="E14" s="5" t="inlineStr">
        <is>
          <t>QA + Warehouse Supervisor</t>
        </is>
      </c>
      <c r="F14" s="5" t="inlineStr">
        <is>
          <t>Immediately</t>
        </is>
      </c>
      <c r="G14" s="5" t="inlineStr">
        <is>
          <t>QA/Operations decides disposition</t>
        </is>
      </c>
    </row>
    <row r="15" ht="58" customHeight="1">
      <c r="A15" s="4" t="inlineStr">
        <is>
          <t>INV-POL-011</t>
        </is>
      </c>
      <c r="B15" s="4" t="inlineStr">
        <is>
          <t>KPIs and Alerts</t>
        </is>
      </c>
      <c r="C15" s="4" t="inlineStr">
        <is>
          <t>Periodic operational reporting</t>
        </is>
      </c>
      <c r="D15" s="4" t="inlineStr">
        <is>
          <t>Track fill rate, stockout rate, inventory accuracy, days of supply, aged stock, and PO adherence</t>
        </is>
      </c>
      <c r="E15" s="4" t="inlineStr">
        <is>
          <t>Inventory Manager</t>
        </is>
      </c>
      <c r="F15" s="4" t="inlineStr">
        <is>
          <t>Weekly/monthly</t>
        </is>
      </c>
      <c r="G15" s="4" t="inlineStr">
        <is>
          <t>Metric definitions must be standardized</t>
        </is>
      </c>
    </row>
    <row r="16" ht="58" customHeight="1">
      <c r="A16" s="5" t="inlineStr">
        <is>
          <t>INV-POL-012</t>
        </is>
      </c>
      <c r="B16" s="5" t="inlineStr">
        <is>
          <t>AI / Automated Reporting</t>
        </is>
      </c>
      <c r="C16" s="5" t="inlineStr">
        <is>
          <t>AI Agent generates an answer or PO recommendation</t>
        </is>
      </c>
      <c r="D16" s="5" t="inlineStr">
        <is>
          <t>Use only authorized data; cite sources and snapshot date; never create POs or adjust inventory autonomously; escalate conflicts for human approval</t>
        </is>
      </c>
      <c r="E16" s="5" t="inlineStr">
        <is>
          <t>System Owner + Inventory Controller</t>
        </is>
      </c>
      <c r="F16" s="5" t="inlineStr">
        <is>
          <t>Each request</t>
        </is>
      </c>
      <c r="G16" s="5" t="inlineStr">
        <is>
          <t>Human approval required</t>
        </is>
      </c>
    </row>
  </sheetData>
  <autoFilter ref="A4:G16"/>
  <mergeCells count="2">
    <mergeCell ref="A2:G2"/>
    <mergeCell ref="A1:G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4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5" customWidth="1" min="4" max="4"/>
    <col width="15" customWidth="1" min="5" max="5"/>
    <col width="8" customWidth="1" min="6" max="6"/>
    <col width="12" customWidth="1" min="7" max="7"/>
    <col width="12" customWidth="1" min="8" max="8"/>
    <col width="14" customWidth="1" min="9" max="9"/>
    <col width="19" customWidth="1" min="10" max="10"/>
    <col width="14" customWidth="1" min="11" max="11"/>
    <col width="12" customWidth="1" min="12" max="12"/>
    <col width="11" customWidth="1" min="13" max="13"/>
    <col width="15" customWidth="1" min="14" max="14"/>
    <col width="15" customWidth="1" min="15" max="15"/>
    <col width="15" customWidth="1" min="16" max="16"/>
    <col width="16" customWidth="1" min="17" max="17"/>
    <col width="17" customWidth="1" min="18" max="18"/>
    <col width="15" customWidth="1" min="19" max="19"/>
    <col width="17" customWidth="1" min="20" max="20"/>
    <col width="11" customWidth="1" min="21" max="21"/>
    <col width="17" customWidth="1" min="22" max="22"/>
    <col width="15" customWidth="1" min="23" max="23"/>
    <col width="15" customWidth="1" min="24" max="24"/>
    <col width="19" customWidth="1" min="25" max="25"/>
    <col width="30" customWidth="1" min="26" max="26"/>
    <col width="17" customWidth="1" min="27" max="27"/>
    <col width="22" customWidth="1" min="28" max="28"/>
    <col width="15" customWidth="1" min="29" max="29"/>
    <col width="15" customWidth="1" min="30" max="30"/>
    <col width="19" customWidth="1" min="31" max="31"/>
  </cols>
  <sheetData>
    <row r="1" ht="30" customHeight="1">
      <c r="A1" s="1" t="inlineStr">
        <is>
          <t>Inventory Control | Snapshot &amp; Reorder Planner</t>
        </is>
      </c>
    </row>
    <row r="2" ht="32" customHeight="1">
      <c r="A2" s="2" t="inlineStr">
        <is>
          <t>Source snapshot: 2022-12-31. Calculated fields use assumptions documented in the README; verify exceptions before ordering.</t>
        </is>
      </c>
    </row>
    <row r="3"/>
    <row r="4" ht="32" customHeight="1">
      <c r="A4" s="6" t="inlineStr">
        <is>
          <t>Snapshot Date</t>
        </is>
      </c>
      <c r="B4" s="6" t="inlineStr">
        <is>
          <t>Product ID</t>
        </is>
      </c>
      <c r="C4" s="6" t="inlineStr">
        <is>
          <t>Product Name</t>
        </is>
      </c>
      <c r="D4" s="6" t="inlineStr">
        <is>
          <t>Category</t>
        </is>
      </c>
      <c r="E4" s="6" t="inlineStr">
        <is>
          <t>Segment</t>
        </is>
      </c>
      <c r="F4" s="6" t="inlineStr">
        <is>
          <t>Size</t>
        </is>
      </c>
      <c r="G4" s="6" t="inlineStr">
        <is>
          <t>Color</t>
        </is>
      </c>
      <c r="H4" s="6" t="inlineStr">
        <is>
          <t>On-hand Units</t>
        </is>
      </c>
      <c r="I4" s="6" t="inlineStr">
        <is>
          <t>Units Sold (Latest)</t>
        </is>
      </c>
      <c r="J4" s="6" t="inlineStr">
        <is>
          <t>Avg Monthly Demand (3 snapshots)</t>
        </is>
      </c>
      <c r="K4" s="6" t="inlineStr">
        <is>
          <t>Avg Daily Demand</t>
        </is>
      </c>
      <c r="L4" s="6" t="inlineStr">
        <is>
          <t>Stockout Days</t>
        </is>
      </c>
      <c r="M4" s="6" t="inlineStr">
        <is>
          <t>Fill Rate</t>
        </is>
      </c>
      <c r="N4" s="6" t="inlineStr">
        <is>
          <t>Source Stockout Flag</t>
        </is>
      </c>
      <c r="O4" s="6" t="inlineStr">
        <is>
          <t>Source Overstock Flag</t>
        </is>
      </c>
      <c r="P4" s="6" t="inlineStr">
        <is>
          <t>Source Reorder Flag</t>
        </is>
      </c>
      <c r="Q4" s="6" t="inlineStr">
        <is>
          <t>Open PO Units (input)</t>
        </is>
      </c>
      <c r="R4" s="6" t="inlineStr">
        <is>
          <t>Backorder Units (input)</t>
        </is>
      </c>
      <c r="S4" s="6" t="inlineStr">
        <is>
          <t>Inventory Position</t>
        </is>
      </c>
      <c r="T4" s="6" t="inlineStr">
        <is>
          <t>Lead Time Days (input)</t>
        </is>
      </c>
      <c r="U4" s="6" t="inlineStr">
        <is>
          <t>Safety Days</t>
        </is>
      </c>
      <c r="V4" s="6" t="inlineStr">
        <is>
          <t>Review Period Days</t>
        </is>
      </c>
      <c r="W4" s="6" t="inlineStr">
        <is>
          <t>Reorder Point (ROP)</t>
        </is>
      </c>
      <c r="X4" s="6" t="inlineStr">
        <is>
          <t>Target Stock</t>
        </is>
      </c>
      <c r="Y4" s="6" t="inlineStr">
        <is>
          <t>Calculated Days of Supply</t>
        </is>
      </c>
      <c r="Z4" s="6" t="inlineStr">
        <is>
          <t>Policy Decision</t>
        </is>
      </c>
      <c r="AA4" s="6" t="inlineStr">
        <is>
          <t>Suggested Order Qty</t>
        </is>
      </c>
      <c r="AB4" s="6" t="inlineStr">
        <is>
          <t>Priority</t>
        </is>
      </c>
      <c r="AC4" s="6" t="inlineStr">
        <is>
          <t>Unit Price (source)</t>
        </is>
      </c>
      <c r="AD4" s="6" t="inlineStr">
        <is>
          <t>COGS (source)</t>
        </is>
      </c>
      <c r="AE4" s="6" t="inlineStr">
        <is>
          <t>On-hand COGS Value</t>
        </is>
      </c>
    </row>
    <row r="5">
      <c r="A5" s="7" t="inlineStr">
        <is>
          <t>2022-12-31</t>
        </is>
      </c>
      <c r="B5" s="7" t="n">
        <v>1</v>
      </c>
      <c r="C5" s="8" t="inlineStr">
        <is>
          <t>DragonWear MA-01</t>
        </is>
      </c>
      <c r="D5" s="8" t="inlineStr">
        <is>
          <t>Casual</t>
        </is>
      </c>
      <c r="E5" s="7" t="inlineStr">
        <is>
          <t>All-weather</t>
        </is>
      </c>
      <c r="F5" s="7" t="inlineStr">
        <is>
          <t>M</t>
        </is>
      </c>
      <c r="G5" s="7" t="inlineStr">
        <is>
          <t>black</t>
        </is>
      </c>
      <c r="H5" s="9" t="n">
        <v>3</v>
      </c>
      <c r="I5" s="9" t="n">
        <v>1</v>
      </c>
      <c r="J5" s="10" t="n">
        <v>1</v>
      </c>
      <c r="K5" s="10">
        <f>IFERROR(J5/30,0)</f>
        <v/>
      </c>
      <c r="L5" s="9" t="n">
        <v>1</v>
      </c>
      <c r="M5" s="11" t="n">
        <v>0.9667</v>
      </c>
      <c r="N5" s="9" t="n">
        <v>1</v>
      </c>
      <c r="O5" s="9" t="n">
        <v>0</v>
      </c>
      <c r="P5" s="9" t="n">
        <v>0</v>
      </c>
      <c r="Q5" s="12" t="n">
        <v>0</v>
      </c>
      <c r="R5" s="12" t="n">
        <v>0</v>
      </c>
      <c r="S5" s="9">
        <f>H5+Q5-R5</f>
        <v/>
      </c>
      <c r="T5" s="12" t="n">
        <v>14</v>
      </c>
      <c r="U5" s="12" t="n">
        <v>7</v>
      </c>
      <c r="V5" s="12" t="n">
        <v>7</v>
      </c>
      <c r="W5" s="10">
        <f>K5*(T5+U5)</f>
        <v/>
      </c>
      <c r="X5" s="10">
        <f>K5*(T5+U5+V5)</f>
        <v/>
      </c>
      <c r="Y5" s="10">
        <f>IF(K5&gt;0,H5/K5,99999)</f>
        <v/>
      </c>
      <c r="Z5" s="8">
        <f>IF(AND(OR(L5&gt;=1,M5&lt;0.95),Y5&gt;120),"DATA CONFLICT - VERIFY",IF(OR(L5&gt;=1,M5&lt;0.95,Y5&lt;=14),"SERVICE / STOCKOUT REVIEW",IF(Y5&gt;120,"OVERSTOCK REVIEW",IF(S5&lt;=W5,"REPLENISHMENT REVIEW","NORMAL MONITORING"))))</f>
        <v/>
      </c>
      <c r="AA5" s="9">
        <f>IF(OR(Z5="DATA CONFLICT - VERIFY",Z5="SERVICE / STOCKOUT REVIEW"),0,IF(S5&lt;=W5,MAX(0,ROUNDUP(X5-S5,0)),0))</f>
        <v/>
      </c>
      <c r="AB5" s="8">
        <f>IF(Z5="DATA CONFLICT - VERIFY","P1 - DATA CONFLICT",IF(Z5="SERVICE / STOCKOUT REVIEW","P1 - SERVICE",IF(Z5="OVERSTOCK REVIEW","P2 - OVERSTOCK",IF(Z5="REPLENISHMENT REVIEW","P2 - REPLENISH","P3 - MONITOR"))))</f>
        <v/>
      </c>
      <c r="AC5" s="10" t="n">
        <v>4945.5</v>
      </c>
      <c r="AD5" s="10" t="n">
        <v>2732.8833</v>
      </c>
      <c r="AE5" s="10">
        <f>IF(OR(AD5="",H5=""),"",H5*AD5)</f>
        <v/>
      </c>
    </row>
    <row r="6">
      <c r="A6" s="13" t="inlineStr">
        <is>
          <t>2022-12-31</t>
        </is>
      </c>
      <c r="B6" s="13" t="n">
        <v>3</v>
      </c>
      <c r="C6" s="14" t="inlineStr">
        <is>
          <t>DragonWear MA-03</t>
        </is>
      </c>
      <c r="D6" s="14" t="inlineStr">
        <is>
          <t>Casual</t>
        </is>
      </c>
      <c r="E6" s="13" t="inlineStr">
        <is>
          <t>All-weather</t>
        </is>
      </c>
      <c r="F6" s="13" t="inlineStr">
        <is>
          <t>XL</t>
        </is>
      </c>
      <c r="G6" s="13" t="inlineStr">
        <is>
          <t>blue</t>
        </is>
      </c>
      <c r="H6" s="15" t="n">
        <v>151</v>
      </c>
      <c r="I6" s="15" t="n">
        <v>5</v>
      </c>
      <c r="J6" s="16" t="n">
        <v>6.666666666666667</v>
      </c>
      <c r="K6" s="16">
        <f>IFERROR(J6/30,0)</f>
        <v/>
      </c>
      <c r="L6" s="15" t="n">
        <v>2</v>
      </c>
      <c r="M6" s="17" t="n">
        <v>0.9333</v>
      </c>
      <c r="N6" s="15" t="n">
        <v>1</v>
      </c>
      <c r="O6" s="15" t="n">
        <v>1</v>
      </c>
      <c r="P6" s="15" t="n">
        <v>0</v>
      </c>
      <c r="Q6" s="12" t="n">
        <v>0</v>
      </c>
      <c r="R6" s="12" t="n">
        <v>0</v>
      </c>
      <c r="S6" s="15">
        <f>H6+Q6-R6</f>
        <v/>
      </c>
      <c r="T6" s="12" t="n">
        <v>14</v>
      </c>
      <c r="U6" s="12" t="n">
        <v>7</v>
      </c>
      <c r="V6" s="12" t="n">
        <v>7</v>
      </c>
      <c r="W6" s="16">
        <f>K6*(T6+U6)</f>
        <v/>
      </c>
      <c r="X6" s="16">
        <f>K6*(T6+U6+V6)</f>
        <v/>
      </c>
      <c r="Y6" s="16">
        <f>IF(K6&gt;0,H6/K6,99999)</f>
        <v/>
      </c>
      <c r="Z6" s="14">
        <f>IF(AND(OR(L6&gt;=1,M6&lt;0.95),Y6&gt;120),"DATA CONFLICT - VERIFY",IF(OR(L6&gt;=1,M6&lt;0.95,Y6&lt;=14),"SERVICE / STOCKOUT REVIEW",IF(Y6&gt;120,"OVERSTOCK REVIEW",IF(S6&lt;=W6,"REPLENISHMENT REVIEW","NORMAL MONITORING"))))</f>
        <v/>
      </c>
      <c r="AA6" s="15">
        <f>IF(OR(Z6="DATA CONFLICT - VERIFY",Z6="SERVICE / STOCKOUT REVIEW"),0,IF(S6&lt;=W6,MAX(0,ROUNDUP(X6-S6,0)),0))</f>
        <v/>
      </c>
      <c r="AB6" s="14">
        <f>IF(Z6="DATA CONFLICT - VERIFY","P1 - DATA CONFLICT",IF(Z6="SERVICE / STOCKOUT REVIEW","P1 - SERVICE",IF(Z6="OVERSTOCK REVIEW","P2 - OVERSTOCK",IF(Z6="REPLENISHMENT REVIEW","P2 - REPLENISH","P3 - MONITOR"))))</f>
        <v/>
      </c>
      <c r="AC6" s="16" t="n">
        <v>10831.3771884655</v>
      </c>
      <c r="AD6" s="16" t="n">
        <v>10289.80832904222</v>
      </c>
      <c r="AE6" s="16">
        <f>IF(OR(AD6="",H6=""),"",H6*AD6)</f>
        <v/>
      </c>
    </row>
    <row r="7">
      <c r="A7" s="7" t="inlineStr">
        <is>
          <t>2022-12-31</t>
        </is>
      </c>
      <c r="B7" s="7" t="n">
        <v>8</v>
      </c>
      <c r="C7" s="8" t="inlineStr">
        <is>
          <t>DragonWear MA-08</t>
        </is>
      </c>
      <c r="D7" s="8" t="inlineStr">
        <is>
          <t>Casual</t>
        </is>
      </c>
      <c r="E7" s="7" t="inlineStr">
        <is>
          <t>All-weather</t>
        </is>
      </c>
      <c r="F7" s="7" t="inlineStr">
        <is>
          <t>S</t>
        </is>
      </c>
      <c r="G7" s="7" t="inlineStr">
        <is>
          <t>pink</t>
        </is>
      </c>
      <c r="H7" s="9" t="n">
        <v>101</v>
      </c>
      <c r="I7" s="9" t="n">
        <v>1</v>
      </c>
      <c r="J7" s="10" t="n">
        <v>1.333333333333333</v>
      </c>
      <c r="K7" s="10">
        <f>IFERROR(J7/30,0)</f>
        <v/>
      </c>
      <c r="L7" s="9" t="n">
        <v>2</v>
      </c>
      <c r="M7" s="11" t="n">
        <v>0.9333</v>
      </c>
      <c r="N7" s="9" t="n">
        <v>1</v>
      </c>
      <c r="O7" s="9" t="n">
        <v>1</v>
      </c>
      <c r="P7" s="9" t="n">
        <v>0</v>
      </c>
      <c r="Q7" s="12" t="n">
        <v>0</v>
      </c>
      <c r="R7" s="12" t="n">
        <v>0</v>
      </c>
      <c r="S7" s="9">
        <f>H7+Q7-R7</f>
        <v/>
      </c>
      <c r="T7" s="12" t="n">
        <v>14</v>
      </c>
      <c r="U7" s="12" t="n">
        <v>7</v>
      </c>
      <c r="V7" s="12" t="n">
        <v>7</v>
      </c>
      <c r="W7" s="10">
        <f>K7*(T7+U7)</f>
        <v/>
      </c>
      <c r="X7" s="10">
        <f>K7*(T7+U7+V7)</f>
        <v/>
      </c>
      <c r="Y7" s="10">
        <f>IF(K7&gt;0,H7/K7,99999)</f>
        <v/>
      </c>
      <c r="Z7" s="8">
        <f>IF(AND(OR(L7&gt;=1,M7&lt;0.95),Y7&gt;120),"DATA CONFLICT - VERIFY",IF(OR(L7&gt;=1,M7&lt;0.95,Y7&lt;=14),"SERVICE / STOCKOUT REVIEW",IF(Y7&gt;120,"OVERSTOCK REVIEW",IF(S7&lt;=W7,"REPLENISHMENT REVIEW","NORMAL MONITORING"))))</f>
        <v/>
      </c>
      <c r="AA7" s="9">
        <f>IF(OR(Z7="DATA CONFLICT - VERIFY",Z7="SERVICE / STOCKOUT REVIEW"),0,IF(S7&lt;=W7,MAX(0,ROUNDUP(X7-S7,0)),0))</f>
        <v/>
      </c>
      <c r="AB7" s="8">
        <f>IF(Z7="DATA CONFLICT - VERIFY","P1 - DATA CONFLICT",IF(Z7="SERVICE / STOCKOUT REVIEW","P1 - SERVICE",IF(Z7="OVERSTOCK REVIEW","P2 - OVERSTOCK",IF(Z7="REPLENISHMENT REVIEW","P2 - REPLENISH","P3 - MONITOR"))))</f>
        <v/>
      </c>
      <c r="AC7" s="10" t="n">
        <v>5353.448367952522</v>
      </c>
      <c r="AD7" s="10" t="n">
        <v>3709.404374154303</v>
      </c>
      <c r="AE7" s="10">
        <f>IF(OR(AD7="",H7=""),"",H7*AD7)</f>
        <v/>
      </c>
    </row>
    <row r="8">
      <c r="A8" s="13" t="inlineStr">
        <is>
          <t>2022-12-31</t>
        </is>
      </c>
      <c r="B8" s="13" t="n">
        <v>9</v>
      </c>
      <c r="C8" s="14" t="inlineStr">
        <is>
          <t>DragonWear MA-09</t>
        </is>
      </c>
      <c r="D8" s="14" t="inlineStr">
        <is>
          <t>Casual</t>
        </is>
      </c>
      <c r="E8" s="13" t="inlineStr">
        <is>
          <t>All-weather</t>
        </is>
      </c>
      <c r="F8" s="13" t="inlineStr">
        <is>
          <t>M</t>
        </is>
      </c>
      <c r="G8" s="13" t="inlineStr">
        <is>
          <t>yellow</t>
        </is>
      </c>
      <c r="H8" s="15" t="n">
        <v>83</v>
      </c>
      <c r="I8" s="15" t="n">
        <v>6</v>
      </c>
      <c r="J8" s="16" t="n">
        <v>5</v>
      </c>
      <c r="K8" s="16">
        <f>IFERROR(J8/30,0)</f>
        <v/>
      </c>
      <c r="L8" s="15" t="n">
        <v>1</v>
      </c>
      <c r="M8" s="17" t="n">
        <v>0.9667</v>
      </c>
      <c r="N8" s="15" t="n">
        <v>1</v>
      </c>
      <c r="O8" s="15" t="n">
        <v>1</v>
      </c>
      <c r="P8" s="15" t="n">
        <v>0</v>
      </c>
      <c r="Q8" s="12" t="n">
        <v>0</v>
      </c>
      <c r="R8" s="12" t="n">
        <v>0</v>
      </c>
      <c r="S8" s="15">
        <f>H8+Q8-R8</f>
        <v/>
      </c>
      <c r="T8" s="12" t="n">
        <v>14</v>
      </c>
      <c r="U8" s="12" t="n">
        <v>7</v>
      </c>
      <c r="V8" s="12" t="n">
        <v>7</v>
      </c>
      <c r="W8" s="16">
        <f>K8*(T8+U8)</f>
        <v/>
      </c>
      <c r="X8" s="16">
        <f>K8*(T8+U8+V8)</f>
        <v/>
      </c>
      <c r="Y8" s="16">
        <f>IF(K8&gt;0,H8/K8,99999)</f>
        <v/>
      </c>
      <c r="Z8" s="14">
        <f>IF(AND(OR(L8&gt;=1,M8&lt;0.95),Y8&gt;120),"DATA CONFLICT - VERIFY",IF(OR(L8&gt;=1,M8&lt;0.95,Y8&lt;=14),"SERVICE / STOCKOUT REVIEW",IF(Y8&gt;120,"OVERSTOCK REVIEW",IF(S8&lt;=W8,"REPLENISHMENT REVIEW","NORMAL MONITORING"))))</f>
        <v/>
      </c>
      <c r="AA8" s="15">
        <f>IF(OR(Z8="DATA CONFLICT - VERIFY",Z8="SERVICE / STOCKOUT REVIEW"),0,IF(S8&lt;=W8,MAX(0,ROUNDUP(X8-S8,0)),0))</f>
        <v/>
      </c>
      <c r="AB8" s="14">
        <f>IF(Z8="DATA CONFLICT - VERIFY","P1 - DATA CONFLICT",IF(Z8="SERVICE / STOCKOUT REVIEW","P1 - SERVICE",IF(Z8="OVERSTOCK REVIEW","P2 - OVERSTOCK",IF(Z8="REPLENISHMENT REVIEW","P2 - REPLENISH","P3 - MONITOR"))))</f>
        <v/>
      </c>
      <c r="AC8" s="16" t="n">
        <v>7077.195950704225</v>
      </c>
      <c r="AD8" s="16" t="n">
        <v>5879.02667625</v>
      </c>
      <c r="AE8" s="16">
        <f>IF(OR(AD8="",H8=""),"",H8*AD8)</f>
        <v/>
      </c>
    </row>
    <row r="9">
      <c r="A9" s="7" t="inlineStr">
        <is>
          <t>2022-12-31</t>
        </is>
      </c>
      <c r="B9" s="7" t="n">
        <v>17</v>
      </c>
      <c r="C9" s="8" t="inlineStr">
        <is>
          <t>DragonWear MA-17</t>
        </is>
      </c>
      <c r="D9" s="8" t="inlineStr">
        <is>
          <t>Casual</t>
        </is>
      </c>
      <c r="E9" s="7" t="inlineStr">
        <is>
          <t>All-weather</t>
        </is>
      </c>
      <c r="F9" s="7" t="inlineStr">
        <is>
          <t>M</t>
        </is>
      </c>
      <c r="G9" s="7" t="inlineStr">
        <is>
          <t>silver</t>
        </is>
      </c>
      <c r="H9" s="9" t="n">
        <v>28</v>
      </c>
      <c r="I9" s="9" t="n">
        <v>4</v>
      </c>
      <c r="J9" s="10" t="n">
        <v>3</v>
      </c>
      <c r="K9" s="10">
        <f>IFERROR(J9/30,0)</f>
        <v/>
      </c>
      <c r="L9" s="9" t="n">
        <v>0</v>
      </c>
      <c r="M9" s="11" t="n">
        <v>1</v>
      </c>
      <c r="N9" s="9" t="n">
        <v>0</v>
      </c>
      <c r="O9" s="9" t="n">
        <v>1</v>
      </c>
      <c r="P9" s="9" t="n">
        <v>0</v>
      </c>
      <c r="Q9" s="12" t="n">
        <v>0</v>
      </c>
      <c r="R9" s="12" t="n">
        <v>0</v>
      </c>
      <c r="S9" s="9">
        <f>H9+Q9-R9</f>
        <v/>
      </c>
      <c r="T9" s="12" t="n">
        <v>14</v>
      </c>
      <c r="U9" s="12" t="n">
        <v>7</v>
      </c>
      <c r="V9" s="12" t="n">
        <v>7</v>
      </c>
      <c r="W9" s="10">
        <f>K9*(T9+U9)</f>
        <v/>
      </c>
      <c r="X9" s="10">
        <f>K9*(T9+U9+V9)</f>
        <v/>
      </c>
      <c r="Y9" s="10">
        <f>IF(K9&gt;0,H9/K9,99999)</f>
        <v/>
      </c>
      <c r="Z9" s="8">
        <f>IF(AND(OR(L9&gt;=1,M9&lt;0.95),Y9&gt;120),"DATA CONFLICT - VERIFY",IF(OR(L9&gt;=1,M9&lt;0.95,Y9&lt;=14),"SERVICE / STOCKOUT REVIEW",IF(Y9&gt;120,"OVERSTOCK REVIEW",IF(S9&lt;=W9,"REPLENISHMENT REVIEW","NORMAL MONITORING"))))</f>
        <v/>
      </c>
      <c r="AA9" s="9">
        <f>IF(OR(Z9="DATA CONFLICT - VERIFY",Z9="SERVICE / STOCKOUT REVIEW"),0,IF(S9&lt;=W9,MAX(0,ROUNDUP(X9-S9,0)),0))</f>
        <v/>
      </c>
      <c r="AB9" s="8">
        <f>IF(Z9="DATA CONFLICT - VERIFY","P1 - DATA CONFLICT",IF(Z9="SERVICE / STOCKOUT REVIEW","P1 - SERVICE",IF(Z9="OVERSTOCK REVIEW","P2 - OVERSTOCK",IF(Z9="REPLENISHMENT REVIEW","P2 - REPLENISH","P3 - MONITOR"))))</f>
        <v/>
      </c>
      <c r="AC9" s="10" t="n">
        <v>4848.114705882354</v>
      </c>
      <c r="AD9" s="10" t="n">
        <v>4140.28995882353</v>
      </c>
      <c r="AE9" s="10">
        <f>IF(OR(AD9="",H9=""),"",H9*AD9)</f>
        <v/>
      </c>
    </row>
    <row r="10">
      <c r="A10" s="13" t="inlineStr">
        <is>
          <t>2022-12-31</t>
        </is>
      </c>
      <c r="B10" s="13" t="n">
        <v>18</v>
      </c>
      <c r="C10" s="14" t="inlineStr">
        <is>
          <t>DragonWear MA-18</t>
        </is>
      </c>
      <c r="D10" s="14" t="inlineStr">
        <is>
          <t>Casual</t>
        </is>
      </c>
      <c r="E10" s="13" t="inlineStr">
        <is>
          <t>All-weather</t>
        </is>
      </c>
      <c r="F10" s="13" t="inlineStr">
        <is>
          <t>L</t>
        </is>
      </c>
      <c r="G10" s="13" t="inlineStr">
        <is>
          <t>pink</t>
        </is>
      </c>
      <c r="H10" s="15" t="n">
        <v>3</v>
      </c>
      <c r="I10" s="15" t="n">
        <v>1</v>
      </c>
      <c r="J10" s="16" t="n">
        <v>1</v>
      </c>
      <c r="K10" s="16">
        <f>IFERROR(J10/30,0)</f>
        <v/>
      </c>
      <c r="L10" s="15" t="n">
        <v>2</v>
      </c>
      <c r="M10" s="17" t="n">
        <v>0.9333</v>
      </c>
      <c r="N10" s="15" t="n">
        <v>1</v>
      </c>
      <c r="O10" s="15" t="n">
        <v>0</v>
      </c>
      <c r="P10" s="15" t="n">
        <v>0</v>
      </c>
      <c r="Q10" s="12" t="n">
        <v>0</v>
      </c>
      <c r="R10" s="12" t="n">
        <v>0</v>
      </c>
      <c r="S10" s="15">
        <f>H10+Q10-R10</f>
        <v/>
      </c>
      <c r="T10" s="12" t="n">
        <v>14</v>
      </c>
      <c r="U10" s="12" t="n">
        <v>7</v>
      </c>
      <c r="V10" s="12" t="n">
        <v>7</v>
      </c>
      <c r="W10" s="16">
        <f>K10*(T10+U10)</f>
        <v/>
      </c>
      <c r="X10" s="16">
        <f>K10*(T10+U10+V10)</f>
        <v/>
      </c>
      <c r="Y10" s="16">
        <f>IF(K10&gt;0,H10/K10,99999)</f>
        <v/>
      </c>
      <c r="Z10" s="14">
        <f>IF(AND(OR(L10&gt;=1,M10&lt;0.95),Y10&gt;120),"DATA CONFLICT - VERIFY",IF(OR(L10&gt;=1,M10&lt;0.95,Y10&lt;=14),"SERVICE / STOCKOUT REVIEW",IF(Y10&gt;120,"OVERSTOCK REVIEW",IF(S10&lt;=W10,"REPLENISHMENT REVIEW","NORMAL MONITORING"))))</f>
        <v/>
      </c>
      <c r="AA10" s="15">
        <f>IF(OR(Z10="DATA CONFLICT - VERIFY",Z10="SERVICE / STOCKOUT REVIEW"),0,IF(S10&lt;=W10,MAX(0,ROUNDUP(X10-S10,0)),0))</f>
        <v/>
      </c>
      <c r="AB10" s="14">
        <f>IF(Z10="DATA CONFLICT - VERIFY","P1 - DATA CONFLICT",IF(Z10="SERVICE / STOCKOUT REVIEW","P1 - SERVICE",IF(Z10="OVERSTOCK REVIEW","P2 - OVERSTOCK",IF(Z10="REPLENISHMENT REVIEW","P2 - REPLENISH","P3 - MONITOR"))))</f>
        <v/>
      </c>
      <c r="AC10" s="16" t="n">
        <v>4712.703333333333</v>
      </c>
      <c r="AD10" s="16" t="n">
        <v>3098.131171333333</v>
      </c>
      <c r="AE10" s="16">
        <f>IF(OR(AD10="",H10=""),"",H10*AD10)</f>
        <v/>
      </c>
    </row>
    <row r="11">
      <c r="A11" s="7" t="inlineStr">
        <is>
          <t>2022-12-31</t>
        </is>
      </c>
      <c r="B11" s="7" t="n">
        <v>19</v>
      </c>
      <c r="C11" s="8" t="inlineStr">
        <is>
          <t>DragonWear MA-19</t>
        </is>
      </c>
      <c r="D11" s="8" t="inlineStr">
        <is>
          <t>Casual</t>
        </is>
      </c>
      <c r="E11" s="7" t="inlineStr">
        <is>
          <t>All-weather</t>
        </is>
      </c>
      <c r="F11" s="7" t="inlineStr">
        <is>
          <t>XL</t>
        </is>
      </c>
      <c r="G11" s="7" t="inlineStr">
        <is>
          <t>yellow</t>
        </is>
      </c>
      <c r="H11" s="9" t="n">
        <v>9</v>
      </c>
      <c r="I11" s="9" t="n">
        <v>3</v>
      </c>
      <c r="J11" s="10" t="n">
        <v>2.333333333333333</v>
      </c>
      <c r="K11" s="10">
        <f>IFERROR(J11/30,0)</f>
        <v/>
      </c>
      <c r="L11" s="9" t="n">
        <v>0</v>
      </c>
      <c r="M11" s="11" t="n">
        <v>1</v>
      </c>
      <c r="N11" s="9" t="n">
        <v>0</v>
      </c>
      <c r="O11" s="9" t="n">
        <v>0</v>
      </c>
      <c r="P11" s="9" t="n">
        <v>0</v>
      </c>
      <c r="Q11" s="12" t="n">
        <v>0</v>
      </c>
      <c r="R11" s="12" t="n">
        <v>0</v>
      </c>
      <c r="S11" s="9">
        <f>H11+Q11-R11</f>
        <v/>
      </c>
      <c r="T11" s="12" t="n">
        <v>14</v>
      </c>
      <c r="U11" s="12" t="n">
        <v>7</v>
      </c>
      <c r="V11" s="12" t="n">
        <v>7</v>
      </c>
      <c r="W11" s="10">
        <f>K11*(T11+U11)</f>
        <v/>
      </c>
      <c r="X11" s="10">
        <f>K11*(T11+U11+V11)</f>
        <v/>
      </c>
      <c r="Y11" s="10">
        <f>IF(K11&gt;0,H11/K11,99999)</f>
        <v/>
      </c>
      <c r="Z11" s="8">
        <f>IF(AND(OR(L11&gt;=1,M11&lt;0.95),Y11&gt;120),"DATA CONFLICT - VERIFY",IF(OR(L11&gt;=1,M11&lt;0.95,Y11&lt;=14),"SERVICE / STOCKOUT REVIEW",IF(Y11&gt;120,"OVERSTOCK REVIEW",IF(S11&lt;=W11,"REPLENISHMENT REVIEW","NORMAL MONITORING"))))</f>
        <v/>
      </c>
      <c r="AA11" s="9">
        <f>IF(OR(Z11="DATA CONFLICT - VERIFY",Z11="SERVICE / STOCKOUT REVIEW"),0,IF(S11&lt;=W11,MAX(0,ROUNDUP(X11-S11,0)),0))</f>
        <v/>
      </c>
      <c r="AB11" s="8">
        <f>IF(Z11="DATA CONFLICT - VERIFY","P1 - DATA CONFLICT",IF(Z11="SERVICE / STOCKOUT REVIEW","P1 - SERVICE",IF(Z11="OVERSTOCK REVIEW","P2 - OVERSTOCK",IF(Z11="REPLENISHMENT REVIEW","P2 - REPLENISH","P3 - MONITOR"))))</f>
        <v/>
      </c>
      <c r="AC11" s="10" t="n">
        <v>4445.517540983607</v>
      </c>
      <c r="AD11" s="10" t="n">
        <v>4171.673660459017</v>
      </c>
      <c r="AE11" s="10">
        <f>IF(OR(AD11="",H11=""),"",H11*AD11)</f>
        <v/>
      </c>
    </row>
    <row r="12">
      <c r="A12" s="13" t="inlineStr">
        <is>
          <t>2022-12-31</t>
        </is>
      </c>
      <c r="B12" s="13" t="n">
        <v>26</v>
      </c>
      <c r="C12" s="14" t="inlineStr">
        <is>
          <t>DragonWear MA-26</t>
        </is>
      </c>
      <c r="D12" s="14" t="inlineStr">
        <is>
          <t>Casual</t>
        </is>
      </c>
      <c r="E12" s="13" t="inlineStr">
        <is>
          <t>All-weather</t>
        </is>
      </c>
      <c r="F12" s="13" t="inlineStr">
        <is>
          <t>L</t>
        </is>
      </c>
      <c r="G12" s="13" t="inlineStr">
        <is>
          <t>green</t>
        </is>
      </c>
      <c r="H12" s="15" t="n">
        <v>240</v>
      </c>
      <c r="I12" s="15" t="n">
        <v>10</v>
      </c>
      <c r="J12" s="16" t="n">
        <v>9</v>
      </c>
      <c r="K12" s="16">
        <f>IFERROR(J12/30,0)</f>
        <v/>
      </c>
      <c r="L12" s="15" t="n">
        <v>2</v>
      </c>
      <c r="M12" s="17" t="n">
        <v>0.9333</v>
      </c>
      <c r="N12" s="15" t="n">
        <v>1</v>
      </c>
      <c r="O12" s="15" t="n">
        <v>1</v>
      </c>
      <c r="P12" s="15" t="n">
        <v>0</v>
      </c>
      <c r="Q12" s="12" t="n">
        <v>0</v>
      </c>
      <c r="R12" s="12" t="n">
        <v>0</v>
      </c>
      <c r="S12" s="15">
        <f>H12+Q12-R12</f>
        <v/>
      </c>
      <c r="T12" s="12" t="n">
        <v>14</v>
      </c>
      <c r="U12" s="12" t="n">
        <v>7</v>
      </c>
      <c r="V12" s="12" t="n">
        <v>7</v>
      </c>
      <c r="W12" s="16">
        <f>K12*(T12+U12)</f>
        <v/>
      </c>
      <c r="X12" s="16">
        <f>K12*(T12+U12+V12)</f>
        <v/>
      </c>
      <c r="Y12" s="16">
        <f>IF(K12&gt;0,H12/K12,99999)</f>
        <v/>
      </c>
      <c r="Z12" s="14">
        <f>IF(AND(OR(L12&gt;=1,M12&lt;0.95),Y12&gt;120),"DATA CONFLICT - VERIFY",IF(OR(L12&gt;=1,M12&lt;0.95,Y12&lt;=14),"SERVICE / STOCKOUT REVIEW",IF(Y12&gt;120,"OVERSTOCK REVIEW",IF(S12&lt;=W12,"REPLENISHMENT REVIEW","NORMAL MONITORING"))))</f>
        <v/>
      </c>
      <c r="AA12" s="15">
        <f>IF(OR(Z12="DATA CONFLICT - VERIFY",Z12="SERVICE / STOCKOUT REVIEW"),0,IF(S12&lt;=W12,MAX(0,ROUNDUP(X12-S12,0)),0))</f>
        <v/>
      </c>
      <c r="AB12" s="14">
        <f>IF(Z12="DATA CONFLICT - VERIFY","P1 - DATA CONFLICT",IF(Z12="SERVICE / STOCKOUT REVIEW","P1 - SERVICE",IF(Z12="OVERSTOCK REVIEW","P2 - OVERSTOCK",IF(Z12="REPLENISHMENT REVIEW","P2 - REPLENISH","P3 - MONITOR"))))</f>
        <v/>
      </c>
      <c r="AC12" s="16" t="n">
        <v>9437.143228498076</v>
      </c>
      <c r="AD12" s="16" t="n">
        <v>8226.35775228177</v>
      </c>
      <c r="AE12" s="16">
        <f>IF(OR(AD12="",H12=""),"",H12*AD12)</f>
        <v/>
      </c>
    </row>
    <row r="13">
      <c r="A13" s="7" t="inlineStr">
        <is>
          <t>2022-12-31</t>
        </is>
      </c>
      <c r="B13" s="7" t="n">
        <v>29</v>
      </c>
      <c r="C13" s="8" t="inlineStr">
        <is>
          <t>DragonWear MA-29</t>
        </is>
      </c>
      <c r="D13" s="8" t="inlineStr">
        <is>
          <t>Casual</t>
        </is>
      </c>
      <c r="E13" s="7" t="inlineStr">
        <is>
          <t>All-weather</t>
        </is>
      </c>
      <c r="F13" s="7" t="inlineStr">
        <is>
          <t>M</t>
        </is>
      </c>
      <c r="G13" s="7" t="inlineStr">
        <is>
          <t>yellow</t>
        </is>
      </c>
      <c r="H13" s="9" t="n">
        <v>9</v>
      </c>
      <c r="I13" s="9" t="n">
        <v>2</v>
      </c>
      <c r="J13" s="10" t="n">
        <v>1.666666666666667</v>
      </c>
      <c r="K13" s="10">
        <f>IFERROR(J13/30,0)</f>
        <v/>
      </c>
      <c r="L13" s="9" t="n">
        <v>1</v>
      </c>
      <c r="M13" s="11" t="n">
        <v>0.9667</v>
      </c>
      <c r="N13" s="9" t="n">
        <v>1</v>
      </c>
      <c r="O13" s="9" t="n">
        <v>1</v>
      </c>
      <c r="P13" s="9" t="n">
        <v>0</v>
      </c>
      <c r="Q13" s="12" t="n">
        <v>0</v>
      </c>
      <c r="R13" s="12" t="n">
        <v>0</v>
      </c>
      <c r="S13" s="9">
        <f>H13+Q13-R13</f>
        <v/>
      </c>
      <c r="T13" s="12" t="n">
        <v>14</v>
      </c>
      <c r="U13" s="12" t="n">
        <v>7</v>
      </c>
      <c r="V13" s="12" t="n">
        <v>7</v>
      </c>
      <c r="W13" s="10">
        <f>K13*(T13+U13)</f>
        <v/>
      </c>
      <c r="X13" s="10">
        <f>K13*(T13+U13+V13)</f>
        <v/>
      </c>
      <c r="Y13" s="10">
        <f>IF(K13&gt;0,H13/K13,99999)</f>
        <v/>
      </c>
      <c r="Z13" s="8">
        <f>IF(AND(OR(L13&gt;=1,M13&lt;0.95),Y13&gt;120),"DATA CONFLICT - VERIFY",IF(OR(L13&gt;=1,M13&lt;0.95,Y13&lt;=14),"SERVICE / STOCKOUT REVIEW",IF(Y13&gt;120,"OVERSTOCK REVIEW",IF(S13&lt;=W13,"REPLENISHMENT REVIEW","NORMAL MONITORING"))))</f>
        <v/>
      </c>
      <c r="AA13" s="9">
        <f>IF(OR(Z13="DATA CONFLICT - VERIFY",Z13="SERVICE / STOCKOUT REVIEW"),0,IF(S13&lt;=W13,MAX(0,ROUNDUP(X13-S13,0)),0))</f>
        <v/>
      </c>
      <c r="AB13" s="8">
        <f>IF(Z13="DATA CONFLICT - VERIFY","P1 - DATA CONFLICT",IF(Z13="SERVICE / STOCKOUT REVIEW","P1 - SERVICE",IF(Z13="OVERSTOCK REVIEW","P2 - OVERSTOCK",IF(Z13="REPLENISHMENT REVIEW","P2 - REPLENISH","P3 - MONITOR"))))</f>
        <v/>
      </c>
      <c r="AC13" s="10" t="n">
        <v>6293.7</v>
      </c>
      <c r="AD13" s="10" t="n">
        <v>5979.014999999999</v>
      </c>
      <c r="AE13" s="10">
        <f>IF(OR(AD13="",H13=""),"",H13*AD13)</f>
        <v/>
      </c>
    </row>
    <row r="14">
      <c r="A14" s="13" t="inlineStr">
        <is>
          <t>2022-12-31</t>
        </is>
      </c>
      <c r="B14" s="13" t="n">
        <v>45</v>
      </c>
      <c r="C14" s="14" t="inlineStr">
        <is>
          <t>DragonWear MA-45</t>
        </is>
      </c>
      <c r="D14" s="14" t="inlineStr">
        <is>
          <t>Casual</t>
        </is>
      </c>
      <c r="E14" s="13" t="inlineStr">
        <is>
          <t>All-weather</t>
        </is>
      </c>
      <c r="F14" s="13" t="inlineStr">
        <is>
          <t>M</t>
        </is>
      </c>
      <c r="G14" s="13" t="inlineStr">
        <is>
          <t>purple</t>
        </is>
      </c>
      <c r="H14" s="15" t="n">
        <v>9</v>
      </c>
      <c r="I14" s="15" t="n">
        <v>3</v>
      </c>
      <c r="J14" s="16" t="n">
        <v>2</v>
      </c>
      <c r="K14" s="16">
        <f>IFERROR(J14/30,0)</f>
        <v/>
      </c>
      <c r="L14" s="15" t="n">
        <v>2</v>
      </c>
      <c r="M14" s="17" t="n">
        <v>0.9333</v>
      </c>
      <c r="N14" s="15" t="n">
        <v>1</v>
      </c>
      <c r="O14" s="15" t="n">
        <v>0</v>
      </c>
      <c r="P14" s="15" t="n">
        <v>0</v>
      </c>
      <c r="Q14" s="12" t="n">
        <v>0</v>
      </c>
      <c r="R14" s="12" t="n">
        <v>0</v>
      </c>
      <c r="S14" s="15">
        <f>H14+Q14-R14</f>
        <v/>
      </c>
      <c r="T14" s="12" t="n">
        <v>14</v>
      </c>
      <c r="U14" s="12" t="n">
        <v>7</v>
      </c>
      <c r="V14" s="12" t="n">
        <v>7</v>
      </c>
      <c r="W14" s="16">
        <f>K14*(T14+U14)</f>
        <v/>
      </c>
      <c r="X14" s="16">
        <f>K14*(T14+U14+V14)</f>
        <v/>
      </c>
      <c r="Y14" s="16">
        <f>IF(K14&gt;0,H14/K14,99999)</f>
        <v/>
      </c>
      <c r="Z14" s="14">
        <f>IF(AND(OR(L14&gt;=1,M14&lt;0.95),Y14&gt;120),"DATA CONFLICT - VERIFY",IF(OR(L14&gt;=1,M14&lt;0.95,Y14&lt;=14),"SERVICE / STOCKOUT REVIEW",IF(Y14&gt;120,"OVERSTOCK REVIEW",IF(S14&lt;=W14,"REPLENISHMENT REVIEW","NORMAL MONITORING"))))</f>
        <v/>
      </c>
      <c r="AA14" s="15">
        <f>IF(OR(Z14="DATA CONFLICT - VERIFY",Z14="SERVICE / STOCKOUT REVIEW"),0,IF(S14&lt;=W14,MAX(0,ROUNDUP(X14-S14,0)),0))</f>
        <v/>
      </c>
      <c r="AB14" s="14">
        <f>IF(Z14="DATA CONFLICT - VERIFY","P1 - DATA CONFLICT",IF(Z14="SERVICE / STOCKOUT REVIEW","P1 - SERVICE",IF(Z14="OVERSTOCK REVIEW","P2 - OVERSTOCK",IF(Z14="REPLENISHMENT REVIEW","P2 - REPLENISH","P3 - MONITOR"))))</f>
        <v/>
      </c>
      <c r="AC14" s="16" t="n">
        <v>5669.37</v>
      </c>
      <c r="AD14" s="16" t="n">
        <v>3456.047952</v>
      </c>
      <c r="AE14" s="16">
        <f>IF(OR(AD14="",H14=""),"",H14*AD14)</f>
        <v/>
      </c>
    </row>
    <row r="15">
      <c r="A15" s="7" t="inlineStr">
        <is>
          <t>2022-12-31</t>
        </is>
      </c>
      <c r="B15" s="7" t="n">
        <v>702</v>
      </c>
      <c r="C15" s="8" t="inlineStr">
        <is>
          <t>HanoiStreet MA-09</t>
        </is>
      </c>
      <c r="D15" s="8" t="inlineStr">
        <is>
          <t>Casual</t>
        </is>
      </c>
      <c r="E15" s="7" t="inlineStr">
        <is>
          <t>All-weather</t>
        </is>
      </c>
      <c r="F15" s="7" t="inlineStr">
        <is>
          <t>L</t>
        </is>
      </c>
      <c r="G15" s="7" t="inlineStr">
        <is>
          <t>orange</t>
        </is>
      </c>
      <c r="H15" s="9" t="n">
        <v>356</v>
      </c>
      <c r="I15" s="9" t="n">
        <v>1</v>
      </c>
      <c r="J15" s="10" t="n">
        <v>3</v>
      </c>
      <c r="K15" s="10">
        <f>IFERROR(J15/30,0)</f>
        <v/>
      </c>
      <c r="L15" s="9" t="n">
        <v>1</v>
      </c>
      <c r="M15" s="11" t="n">
        <v>0.9667</v>
      </c>
      <c r="N15" s="9" t="n">
        <v>1</v>
      </c>
      <c r="O15" s="9" t="n">
        <v>1</v>
      </c>
      <c r="P15" s="9" t="n">
        <v>0</v>
      </c>
      <c r="Q15" s="12" t="n">
        <v>0</v>
      </c>
      <c r="R15" s="12" t="n">
        <v>0</v>
      </c>
      <c r="S15" s="9">
        <f>H15+Q15-R15</f>
        <v/>
      </c>
      <c r="T15" s="12" t="n">
        <v>14</v>
      </c>
      <c r="U15" s="12" t="n">
        <v>7</v>
      </c>
      <c r="V15" s="12" t="n">
        <v>7</v>
      </c>
      <c r="W15" s="10">
        <f>K15*(T15+U15)</f>
        <v/>
      </c>
      <c r="X15" s="10">
        <f>K15*(T15+U15+V15)</f>
        <v/>
      </c>
      <c r="Y15" s="10">
        <f>IF(K15&gt;0,H15/K15,99999)</f>
        <v/>
      </c>
      <c r="Z15" s="8">
        <f>IF(AND(OR(L15&gt;=1,M15&lt;0.95),Y15&gt;120),"DATA CONFLICT - VERIFY",IF(OR(L15&gt;=1,M15&lt;0.95,Y15&lt;=14),"SERVICE / STOCKOUT REVIEW",IF(Y15&gt;120,"OVERSTOCK REVIEW",IF(S15&lt;=W15,"REPLENISHMENT REVIEW","NORMAL MONITORING"))))</f>
        <v/>
      </c>
      <c r="AA15" s="9">
        <f>IF(OR(Z15="DATA CONFLICT - VERIFY",Z15="SERVICE / STOCKOUT REVIEW"),0,IF(S15&lt;=W15,MAX(0,ROUNDUP(X15-S15,0)),0))</f>
        <v/>
      </c>
      <c r="AB15" s="8">
        <f>IF(Z15="DATA CONFLICT - VERIFY","P1 - DATA CONFLICT",IF(Z15="SERVICE / STOCKOUT REVIEW","P1 - SERVICE",IF(Z15="OVERSTOCK REVIEW","P2 - OVERSTOCK",IF(Z15="REPLENISHMENT REVIEW","P2 - REPLENISH","P3 - MONITOR"))))</f>
        <v/>
      </c>
      <c r="AC15" s="10" t="n">
        <v>3720.711891891892</v>
      </c>
      <c r="AD15" s="10" t="n">
        <v>3306.596658324324</v>
      </c>
      <c r="AE15" s="10">
        <f>IF(OR(AD15="",H15=""),"",H15*AD15)</f>
        <v/>
      </c>
    </row>
    <row r="16">
      <c r="A16" s="13" t="inlineStr">
        <is>
          <t>2022-12-31</t>
        </is>
      </c>
      <c r="B16" s="13" t="n">
        <v>711</v>
      </c>
      <c r="C16" s="14" t="inlineStr">
        <is>
          <t>HanoiStreet MA-18</t>
        </is>
      </c>
      <c r="D16" s="14" t="inlineStr">
        <is>
          <t>Casual</t>
        </is>
      </c>
      <c r="E16" s="13" t="inlineStr">
        <is>
          <t>All-weather</t>
        </is>
      </c>
      <c r="F16" s="13" t="inlineStr">
        <is>
          <t>XL</t>
        </is>
      </c>
      <c r="G16" s="13" t="inlineStr">
        <is>
          <t>black</t>
        </is>
      </c>
      <c r="H16" s="15" t="n">
        <v>129</v>
      </c>
      <c r="I16" s="15" t="n">
        <v>25</v>
      </c>
      <c r="J16" s="16" t="n">
        <v>30.33333333333333</v>
      </c>
      <c r="K16" s="16">
        <f>IFERROR(J16/30,0)</f>
        <v/>
      </c>
      <c r="L16" s="15" t="n">
        <v>1</v>
      </c>
      <c r="M16" s="17" t="n">
        <v>0.9667</v>
      </c>
      <c r="N16" s="15" t="n">
        <v>1</v>
      </c>
      <c r="O16" s="15" t="n">
        <v>1</v>
      </c>
      <c r="P16" s="15" t="n">
        <v>0</v>
      </c>
      <c r="Q16" s="12" t="n">
        <v>0</v>
      </c>
      <c r="R16" s="12" t="n">
        <v>0</v>
      </c>
      <c r="S16" s="15">
        <f>H16+Q16-R16</f>
        <v/>
      </c>
      <c r="T16" s="12" t="n">
        <v>14</v>
      </c>
      <c r="U16" s="12" t="n">
        <v>7</v>
      </c>
      <c r="V16" s="12" t="n">
        <v>7</v>
      </c>
      <c r="W16" s="16">
        <f>K16*(T16+U16)</f>
        <v/>
      </c>
      <c r="X16" s="16">
        <f>K16*(T16+U16+V16)</f>
        <v/>
      </c>
      <c r="Y16" s="16">
        <f>IF(K16&gt;0,H16/K16,99999)</f>
        <v/>
      </c>
      <c r="Z16" s="14">
        <f>IF(AND(OR(L16&gt;=1,M16&lt;0.95),Y16&gt;120),"DATA CONFLICT - VERIFY",IF(OR(L16&gt;=1,M16&lt;0.95,Y16&lt;=14),"SERVICE / STOCKOUT REVIEW",IF(Y16&gt;120,"OVERSTOCK REVIEW",IF(S16&lt;=W16,"REPLENISHMENT REVIEW","NORMAL MONITORING"))))</f>
        <v/>
      </c>
      <c r="AA16" s="15">
        <f>IF(OR(Z16="DATA CONFLICT - VERIFY",Z16="SERVICE / STOCKOUT REVIEW"),0,IF(S16&lt;=W16,MAX(0,ROUNDUP(X16-S16,0)),0))</f>
        <v/>
      </c>
      <c r="AB16" s="14">
        <f>IF(Z16="DATA CONFLICT - VERIFY","P1 - DATA CONFLICT",IF(Z16="SERVICE / STOCKOUT REVIEW","P1 - SERVICE",IF(Z16="OVERSTOCK REVIEW","P2 - OVERSTOCK",IF(Z16="REPLENISHMENT REVIEW","P2 - REPLENISH","P3 - MONITOR"))))</f>
        <v/>
      </c>
      <c r="AC16" s="16" t="n">
        <v>2900.215161290323</v>
      </c>
      <c r="AD16" s="16" t="n">
        <v>2181.54184432258</v>
      </c>
      <c r="AE16" s="16">
        <f>IF(OR(AD16="",H16=""),"",H16*AD16)</f>
        <v/>
      </c>
    </row>
    <row r="17">
      <c r="A17" s="7" t="inlineStr">
        <is>
          <t>2022-12-31</t>
        </is>
      </c>
      <c r="B17" s="7" t="n">
        <v>1043</v>
      </c>
      <c r="C17" s="8" t="inlineStr">
        <is>
          <t>MekongFit MA-01</t>
        </is>
      </c>
      <c r="D17" s="8" t="inlineStr">
        <is>
          <t>Casual</t>
        </is>
      </c>
      <c r="E17" s="7" t="inlineStr">
        <is>
          <t>All-weather</t>
        </is>
      </c>
      <c r="F17" s="7" t="inlineStr">
        <is>
          <t>XL</t>
        </is>
      </c>
      <c r="G17" s="7" t="inlineStr">
        <is>
          <t>blue</t>
        </is>
      </c>
      <c r="H17" s="9" t="n">
        <v>116</v>
      </c>
      <c r="I17" s="9" t="n">
        <v>2</v>
      </c>
      <c r="J17" s="10" t="n">
        <v>5.333333333333333</v>
      </c>
      <c r="K17" s="10">
        <f>IFERROR(J17/30,0)</f>
        <v/>
      </c>
      <c r="L17" s="9" t="n">
        <v>1</v>
      </c>
      <c r="M17" s="11" t="n">
        <v>0.9667</v>
      </c>
      <c r="N17" s="9" t="n">
        <v>1</v>
      </c>
      <c r="O17" s="9" t="n">
        <v>1</v>
      </c>
      <c r="P17" s="9" t="n">
        <v>0</v>
      </c>
      <c r="Q17" s="12" t="n">
        <v>0</v>
      </c>
      <c r="R17" s="12" t="n">
        <v>0</v>
      </c>
      <c r="S17" s="9">
        <f>H17+Q17-R17</f>
        <v/>
      </c>
      <c r="T17" s="12" t="n">
        <v>14</v>
      </c>
      <c r="U17" s="12" t="n">
        <v>7</v>
      </c>
      <c r="V17" s="12" t="n">
        <v>7</v>
      </c>
      <c r="W17" s="10">
        <f>K17*(T17+U17)</f>
        <v/>
      </c>
      <c r="X17" s="10">
        <f>K17*(T17+U17+V17)</f>
        <v/>
      </c>
      <c r="Y17" s="10">
        <f>IF(K17&gt;0,H17/K17,99999)</f>
        <v/>
      </c>
      <c r="Z17" s="8">
        <f>IF(AND(OR(L17&gt;=1,M17&lt;0.95),Y17&gt;120),"DATA CONFLICT - VERIFY",IF(OR(L17&gt;=1,M17&lt;0.95,Y17&lt;=14),"SERVICE / STOCKOUT REVIEW",IF(Y17&gt;120,"OVERSTOCK REVIEW",IF(S17&lt;=W17,"REPLENISHMENT REVIEW","NORMAL MONITORING"))))</f>
        <v/>
      </c>
      <c r="AA17" s="9">
        <f>IF(OR(Z17="DATA CONFLICT - VERIFY",Z17="SERVICE / STOCKOUT REVIEW"),0,IF(S17&lt;=W17,MAX(0,ROUNDUP(X17-S17,0)),0))</f>
        <v/>
      </c>
      <c r="AB17" s="8">
        <f>IF(Z17="DATA CONFLICT - VERIFY","P1 - DATA CONFLICT",IF(Z17="SERVICE / STOCKOUT REVIEW","P1 - SERVICE",IF(Z17="OVERSTOCK REVIEW","P2 - OVERSTOCK",IF(Z17="REPLENISHMENT REVIEW","P2 - REPLENISH","P3 - MONITOR"))))</f>
        <v/>
      </c>
      <c r="AC17" s="10" t="n">
        <v>4535.037107001321</v>
      </c>
      <c r="AD17" s="10" t="n">
        <v>2953.216164079261</v>
      </c>
      <c r="AE17" s="10">
        <f>IF(OR(AD17="",H17=""),"",H17*AD17)</f>
        <v/>
      </c>
    </row>
    <row r="18">
      <c r="A18" s="13" t="inlineStr">
        <is>
          <t>2022-12-31</t>
        </is>
      </c>
      <c r="B18" s="13" t="n">
        <v>1049</v>
      </c>
      <c r="C18" s="14" t="inlineStr">
        <is>
          <t>MekongFit MA-07</t>
        </is>
      </c>
      <c r="D18" s="14" t="inlineStr">
        <is>
          <t>Casual</t>
        </is>
      </c>
      <c r="E18" s="13" t="inlineStr">
        <is>
          <t>All-weather</t>
        </is>
      </c>
      <c r="F18" s="13" t="inlineStr">
        <is>
          <t>M</t>
        </is>
      </c>
      <c r="G18" s="13" t="inlineStr">
        <is>
          <t>yellow</t>
        </is>
      </c>
      <c r="H18" s="15" t="n">
        <v>116</v>
      </c>
      <c r="I18" s="15" t="n">
        <v>5</v>
      </c>
      <c r="J18" s="16" t="n">
        <v>4</v>
      </c>
      <c r="K18" s="16">
        <f>IFERROR(J18/30,0)</f>
        <v/>
      </c>
      <c r="L18" s="15" t="n">
        <v>2</v>
      </c>
      <c r="M18" s="17" t="n">
        <v>0.9333</v>
      </c>
      <c r="N18" s="15" t="n">
        <v>1</v>
      </c>
      <c r="O18" s="15" t="n">
        <v>1</v>
      </c>
      <c r="P18" s="15" t="n">
        <v>0</v>
      </c>
      <c r="Q18" s="12" t="n">
        <v>0</v>
      </c>
      <c r="R18" s="12" t="n">
        <v>0</v>
      </c>
      <c r="S18" s="15">
        <f>H18+Q18-R18</f>
        <v/>
      </c>
      <c r="T18" s="12" t="n">
        <v>14</v>
      </c>
      <c r="U18" s="12" t="n">
        <v>7</v>
      </c>
      <c r="V18" s="12" t="n">
        <v>7</v>
      </c>
      <c r="W18" s="16">
        <f>K18*(T18+U18)</f>
        <v/>
      </c>
      <c r="X18" s="16">
        <f>K18*(T18+U18+V18)</f>
        <v/>
      </c>
      <c r="Y18" s="16">
        <f>IF(K18&gt;0,H18/K18,99999)</f>
        <v/>
      </c>
      <c r="Z18" s="14">
        <f>IF(AND(OR(L18&gt;=1,M18&lt;0.95),Y18&gt;120),"DATA CONFLICT - VERIFY",IF(OR(L18&gt;=1,M18&lt;0.95,Y18&lt;=14),"SERVICE / STOCKOUT REVIEW",IF(Y18&gt;120,"OVERSTOCK REVIEW",IF(S18&lt;=W18,"REPLENISHMENT REVIEW","NORMAL MONITORING"))))</f>
        <v/>
      </c>
      <c r="AA18" s="15">
        <f>IF(OR(Z18="DATA CONFLICT - VERIFY",Z18="SERVICE / STOCKOUT REVIEW"),0,IF(S18&lt;=W18,MAX(0,ROUNDUP(X18-S18,0)),0))</f>
        <v/>
      </c>
      <c r="AB18" s="14">
        <f>IF(Z18="DATA CONFLICT - VERIFY","P1 - DATA CONFLICT",IF(Z18="SERVICE / STOCKOUT REVIEW","P1 - SERVICE",IF(Z18="OVERSTOCK REVIEW","P2 - OVERSTOCK",IF(Z18="REPLENISHMENT REVIEW","P2 - REPLENISH","P3 - MONITOR"))))</f>
        <v/>
      </c>
      <c r="AC18" s="16" t="n">
        <v>3141.300337078651</v>
      </c>
      <c r="AD18" s="16" t="n">
        <v>2842.562675022472</v>
      </c>
      <c r="AE18" s="16">
        <f>IF(OR(AD18="",H18=""),"",H18*AD18)</f>
        <v/>
      </c>
    </row>
    <row r="19">
      <c r="A19" s="7" t="inlineStr">
        <is>
          <t>2022-12-31</t>
        </is>
      </c>
      <c r="B19" s="7" t="n">
        <v>1050</v>
      </c>
      <c r="C19" s="8" t="inlineStr">
        <is>
          <t>MekongFit MA-08</t>
        </is>
      </c>
      <c r="D19" s="8" t="inlineStr">
        <is>
          <t>Casual</t>
        </is>
      </c>
      <c r="E19" s="7" t="inlineStr">
        <is>
          <t>All-weather</t>
        </is>
      </c>
      <c r="F19" s="7" t="inlineStr">
        <is>
          <t>L</t>
        </is>
      </c>
      <c r="G19" s="7" t="inlineStr">
        <is>
          <t>red</t>
        </is>
      </c>
      <c r="H19" s="9" t="n">
        <v>37</v>
      </c>
      <c r="I19" s="9" t="n">
        <v>1</v>
      </c>
      <c r="J19" s="10" t="n">
        <v>2</v>
      </c>
      <c r="K19" s="10">
        <f>IFERROR(J19/30,0)</f>
        <v/>
      </c>
      <c r="L19" s="9" t="n">
        <v>2</v>
      </c>
      <c r="M19" s="11" t="n">
        <v>0.9333</v>
      </c>
      <c r="N19" s="9" t="n">
        <v>1</v>
      </c>
      <c r="O19" s="9" t="n">
        <v>1</v>
      </c>
      <c r="P19" s="9" t="n">
        <v>0</v>
      </c>
      <c r="Q19" s="12" t="n">
        <v>0</v>
      </c>
      <c r="R19" s="12" t="n">
        <v>0</v>
      </c>
      <c r="S19" s="9">
        <f>H19+Q19-R19</f>
        <v/>
      </c>
      <c r="T19" s="12" t="n">
        <v>14</v>
      </c>
      <c r="U19" s="12" t="n">
        <v>7</v>
      </c>
      <c r="V19" s="12" t="n">
        <v>7</v>
      </c>
      <c r="W19" s="10">
        <f>K19*(T19+U19)</f>
        <v/>
      </c>
      <c r="X19" s="10">
        <f>K19*(T19+U19+V19)</f>
        <v/>
      </c>
      <c r="Y19" s="10">
        <f>IF(K19&gt;0,H19/K19,99999)</f>
        <v/>
      </c>
      <c r="Z19" s="8">
        <f>IF(AND(OR(L19&gt;=1,M19&lt;0.95),Y19&gt;120),"DATA CONFLICT - VERIFY",IF(OR(L19&gt;=1,M19&lt;0.95,Y19&lt;=14),"SERVICE / STOCKOUT REVIEW",IF(Y19&gt;120,"OVERSTOCK REVIEW",IF(S19&lt;=W19,"REPLENISHMENT REVIEW","NORMAL MONITORING"))))</f>
        <v/>
      </c>
      <c r="AA19" s="9">
        <f>IF(OR(Z19="DATA CONFLICT - VERIFY",Z19="SERVICE / STOCKOUT REVIEW"),0,IF(S19&lt;=W19,MAX(0,ROUNDUP(X19-S19,0)),0))</f>
        <v/>
      </c>
      <c r="AB19" s="8">
        <f>IF(Z19="DATA CONFLICT - VERIFY","P1 - DATA CONFLICT",IF(Z19="SERVICE / STOCKOUT REVIEW","P1 - SERVICE",IF(Z19="OVERSTOCK REVIEW","P2 - OVERSTOCK",IF(Z19="REPLENISHMENT REVIEW","P2 - REPLENISH","P3 - MONITOR"))))</f>
        <v/>
      </c>
      <c r="AC19" s="10" t="n">
        <v>3375.730465116279</v>
      </c>
      <c r="AD19" s="10" t="n">
        <v>2155.403901976744</v>
      </c>
      <c r="AE19" s="10">
        <f>IF(OR(AD19="",H19=""),"",H19*AD19)</f>
        <v/>
      </c>
    </row>
    <row r="20">
      <c r="A20" s="13" t="inlineStr">
        <is>
          <t>2022-12-31</t>
        </is>
      </c>
      <c r="B20" s="13" t="n">
        <v>1053</v>
      </c>
      <c r="C20" s="14" t="inlineStr">
        <is>
          <t>MekongFit MA-11</t>
        </is>
      </c>
      <c r="D20" s="14" t="inlineStr">
        <is>
          <t>Casual</t>
        </is>
      </c>
      <c r="E20" s="13" t="inlineStr">
        <is>
          <t>All-weather</t>
        </is>
      </c>
      <c r="F20" s="13" t="inlineStr">
        <is>
          <t>M</t>
        </is>
      </c>
      <c r="G20" s="13" t="inlineStr">
        <is>
          <t>blue</t>
        </is>
      </c>
      <c r="H20" s="15" t="n">
        <v>891</v>
      </c>
      <c r="I20" s="15" t="n">
        <v>14</v>
      </c>
      <c r="J20" s="16" t="n">
        <v>16.33333333333333</v>
      </c>
      <c r="K20" s="16">
        <f>IFERROR(J20/30,0)</f>
        <v/>
      </c>
      <c r="L20" s="15" t="n">
        <v>0</v>
      </c>
      <c r="M20" s="17" t="n">
        <v>1</v>
      </c>
      <c r="N20" s="15" t="n">
        <v>0</v>
      </c>
      <c r="O20" s="15" t="n">
        <v>1</v>
      </c>
      <c r="P20" s="15" t="n">
        <v>0</v>
      </c>
      <c r="Q20" s="12" t="n">
        <v>0</v>
      </c>
      <c r="R20" s="12" t="n">
        <v>0</v>
      </c>
      <c r="S20" s="15">
        <f>H20+Q20-R20</f>
        <v/>
      </c>
      <c r="T20" s="12" t="n">
        <v>14</v>
      </c>
      <c r="U20" s="12" t="n">
        <v>7</v>
      </c>
      <c r="V20" s="12" t="n">
        <v>7</v>
      </c>
      <c r="W20" s="16">
        <f>K20*(T20+U20)</f>
        <v/>
      </c>
      <c r="X20" s="16">
        <f>K20*(T20+U20+V20)</f>
        <v/>
      </c>
      <c r="Y20" s="16">
        <f>IF(K20&gt;0,H20/K20,99999)</f>
        <v/>
      </c>
      <c r="Z20" s="14">
        <f>IF(AND(OR(L20&gt;=1,M20&lt;0.95),Y20&gt;120),"DATA CONFLICT - VERIFY",IF(OR(L20&gt;=1,M20&lt;0.95,Y20&lt;=14),"SERVICE / STOCKOUT REVIEW",IF(Y20&gt;120,"OVERSTOCK REVIEW",IF(S20&lt;=W20,"REPLENISHMENT REVIEW","NORMAL MONITORING"))))</f>
        <v/>
      </c>
      <c r="AA20" s="15">
        <f>IF(OR(Z20="DATA CONFLICT - VERIFY",Z20="SERVICE / STOCKOUT REVIEW"),0,IF(S20&lt;=W20,MAX(0,ROUNDUP(X20-S20,0)),0))</f>
        <v/>
      </c>
      <c r="AB20" s="14">
        <f>IF(Z20="DATA CONFLICT - VERIFY","P1 - DATA CONFLICT",IF(Z20="SERVICE / STOCKOUT REVIEW","P1 - SERVICE",IF(Z20="OVERSTOCK REVIEW","P2 - OVERSTOCK",IF(Z20="REPLENISHMENT REVIEW","P2 - REPLENISH","P3 - MONITOR"))))</f>
        <v/>
      </c>
      <c r="AC20" s="16" t="n">
        <v>3460.891900038153</v>
      </c>
      <c r="AD20" s="16" t="n">
        <v>3287.847305036245</v>
      </c>
      <c r="AE20" s="16">
        <f>IF(OR(AD20="",H20=""),"",H20*AD20)</f>
        <v/>
      </c>
    </row>
    <row r="21">
      <c r="A21" s="7" t="inlineStr">
        <is>
          <t>2022-12-31</t>
        </is>
      </c>
      <c r="B21" s="7" t="n">
        <v>1249</v>
      </c>
      <c r="C21" s="8" t="inlineStr">
        <is>
          <t>VietMode MP-17</t>
        </is>
      </c>
      <c r="D21" s="8" t="inlineStr">
        <is>
          <t>Casual</t>
        </is>
      </c>
      <c r="E21" s="7" t="inlineStr">
        <is>
          <t>Activewear</t>
        </is>
      </c>
      <c r="F21" s="7" t="inlineStr">
        <is>
          <t>M</t>
        </is>
      </c>
      <c r="G21" s="7" t="inlineStr">
        <is>
          <t>yellow</t>
        </is>
      </c>
      <c r="H21" s="9" t="n">
        <v>3</v>
      </c>
      <c r="I21" s="9" t="n">
        <v>1</v>
      </c>
      <c r="J21" s="10" t="n">
        <v>1.333333333333333</v>
      </c>
      <c r="K21" s="10">
        <f>IFERROR(J21/30,0)</f>
        <v/>
      </c>
      <c r="L21" s="9" t="n">
        <v>2</v>
      </c>
      <c r="M21" s="11" t="n">
        <v>0.9333</v>
      </c>
      <c r="N21" s="9" t="n">
        <v>1</v>
      </c>
      <c r="O21" s="9" t="n">
        <v>0</v>
      </c>
      <c r="P21" s="9" t="n">
        <v>0</v>
      </c>
      <c r="Q21" s="12" t="n">
        <v>0</v>
      </c>
      <c r="R21" s="12" t="n">
        <v>0</v>
      </c>
      <c r="S21" s="9">
        <f>H21+Q21-R21</f>
        <v/>
      </c>
      <c r="T21" s="12" t="n">
        <v>14</v>
      </c>
      <c r="U21" s="12" t="n">
        <v>7</v>
      </c>
      <c r="V21" s="12" t="n">
        <v>7</v>
      </c>
      <c r="W21" s="10">
        <f>K21*(T21+U21)</f>
        <v/>
      </c>
      <c r="X21" s="10">
        <f>K21*(T21+U21+V21)</f>
        <v/>
      </c>
      <c r="Y21" s="10">
        <f>IF(K21&gt;0,H21/K21,99999)</f>
        <v/>
      </c>
      <c r="Z21" s="8">
        <f>IF(AND(OR(L21&gt;=1,M21&lt;0.95),Y21&gt;120),"DATA CONFLICT - VERIFY",IF(OR(L21&gt;=1,M21&lt;0.95,Y21&lt;=14),"SERVICE / STOCKOUT REVIEW",IF(Y21&gt;120,"OVERSTOCK REVIEW",IF(S21&lt;=W21,"REPLENISHMENT REVIEW","NORMAL MONITORING"))))</f>
        <v/>
      </c>
      <c r="AA21" s="9">
        <f>IF(OR(Z21="DATA CONFLICT - VERIFY",Z21="SERVICE / STOCKOUT REVIEW"),0,IF(S21&lt;=W21,MAX(0,ROUNDUP(X21-S21,0)),0))</f>
        <v/>
      </c>
      <c r="AB21" s="8">
        <f>IF(Z21="DATA CONFLICT - VERIFY","P1 - DATA CONFLICT",IF(Z21="SERVICE / STOCKOUT REVIEW","P1 - SERVICE",IF(Z21="OVERSTOCK REVIEW","P2 - OVERSTOCK",IF(Z21="REPLENISHMENT REVIEW","P2 - REPLENISH","P3 - MONITOR"))))</f>
        <v/>
      </c>
      <c r="AC21" s="10" t="n">
        <v>4976.37</v>
      </c>
      <c r="AD21" s="10" t="n">
        <v>3661.613046</v>
      </c>
      <c r="AE21" s="10">
        <f>IF(OR(AD21="",H21=""),"",H21*AD21)</f>
        <v/>
      </c>
    </row>
    <row r="22">
      <c r="A22" s="13" t="inlineStr">
        <is>
          <t>2022-12-31</t>
        </is>
      </c>
      <c r="B22" s="13" t="n">
        <v>1250</v>
      </c>
      <c r="C22" s="14" t="inlineStr">
        <is>
          <t>VietMode MP-18</t>
        </is>
      </c>
      <c r="D22" s="14" t="inlineStr">
        <is>
          <t>Casual</t>
        </is>
      </c>
      <c r="E22" s="13" t="inlineStr">
        <is>
          <t>Activewear</t>
        </is>
      </c>
      <c r="F22" s="13" t="inlineStr">
        <is>
          <t>L</t>
        </is>
      </c>
      <c r="G22" s="13" t="inlineStr">
        <is>
          <t>red</t>
        </is>
      </c>
      <c r="H22" s="15" t="n">
        <v>3</v>
      </c>
      <c r="I22" s="15" t="n">
        <v>1</v>
      </c>
      <c r="J22" s="16" t="n">
        <v>1.333333333333333</v>
      </c>
      <c r="K22" s="16">
        <f>IFERROR(J22/30,0)</f>
        <v/>
      </c>
      <c r="L22" s="15" t="n">
        <v>1</v>
      </c>
      <c r="M22" s="17" t="n">
        <v>0.9667</v>
      </c>
      <c r="N22" s="15" t="n">
        <v>1</v>
      </c>
      <c r="O22" s="15" t="n">
        <v>0</v>
      </c>
      <c r="P22" s="15" t="n">
        <v>0</v>
      </c>
      <c r="Q22" s="12" t="n">
        <v>0</v>
      </c>
      <c r="R22" s="12" t="n">
        <v>0</v>
      </c>
      <c r="S22" s="15">
        <f>H22+Q22-R22</f>
        <v/>
      </c>
      <c r="T22" s="12" t="n">
        <v>14</v>
      </c>
      <c r="U22" s="12" t="n">
        <v>7</v>
      </c>
      <c r="V22" s="12" t="n">
        <v>7</v>
      </c>
      <c r="W22" s="16">
        <f>K22*(T22+U22)</f>
        <v/>
      </c>
      <c r="X22" s="16">
        <f>K22*(T22+U22+V22)</f>
        <v/>
      </c>
      <c r="Y22" s="16">
        <f>IF(K22&gt;0,H22/K22,99999)</f>
        <v/>
      </c>
      <c r="Z22" s="14">
        <f>IF(AND(OR(L22&gt;=1,M22&lt;0.95),Y22&gt;120),"DATA CONFLICT - VERIFY",IF(OR(L22&gt;=1,M22&lt;0.95,Y22&lt;=14),"SERVICE / STOCKOUT REVIEW",IF(Y22&gt;120,"OVERSTOCK REVIEW",IF(S22&lt;=W22,"REPLENISHMENT REVIEW","NORMAL MONITORING"))))</f>
        <v/>
      </c>
      <c r="AA22" s="15">
        <f>IF(OR(Z22="DATA CONFLICT - VERIFY",Z22="SERVICE / STOCKOUT REVIEW"),0,IF(S22&lt;=W22,MAX(0,ROUNDUP(X22-S22,0)),0))</f>
        <v/>
      </c>
      <c r="AB22" s="14">
        <f>IF(Z22="DATA CONFLICT - VERIFY","P1 - DATA CONFLICT",IF(Z22="SERVICE / STOCKOUT REVIEW","P1 - SERVICE",IF(Z22="OVERSTOCK REVIEW","P2 - OVERSTOCK",IF(Z22="REPLENISHMENT REVIEW","P2 - REPLENISH","P3 - MONITOR"))))</f>
        <v/>
      </c>
      <c r="AC22" s="16" t="n">
        <v>4976.37</v>
      </c>
      <c r="AD22" s="16" t="n">
        <v>3635.735922</v>
      </c>
      <c r="AE22" s="16">
        <f>IF(OR(AD22="",H22=""),"",H22*AD22)</f>
        <v/>
      </c>
    </row>
    <row r="23">
      <c r="A23" s="7" t="inlineStr">
        <is>
          <t>2022-12-31</t>
        </is>
      </c>
      <c r="B23" s="7" t="n">
        <v>1272</v>
      </c>
      <c r="C23" s="8" t="inlineStr">
        <is>
          <t>VietMode MA-08</t>
        </is>
      </c>
      <c r="D23" s="8" t="inlineStr">
        <is>
          <t>Casual</t>
        </is>
      </c>
      <c r="E23" s="7" t="inlineStr">
        <is>
          <t>All-weather</t>
        </is>
      </c>
      <c r="F23" s="7" t="inlineStr">
        <is>
          <t>S</t>
        </is>
      </c>
      <c r="G23" s="7" t="inlineStr">
        <is>
          <t>orange</t>
        </is>
      </c>
      <c r="H23" s="9" t="n">
        <v>20</v>
      </c>
      <c r="I23" s="9" t="n">
        <v>14</v>
      </c>
      <c r="J23" s="10" t="n">
        <v>9.333333333333334</v>
      </c>
      <c r="K23" s="10">
        <f>IFERROR(J23/30,0)</f>
        <v/>
      </c>
      <c r="L23" s="9" t="n">
        <v>2</v>
      </c>
      <c r="M23" s="11" t="n">
        <v>0.9333</v>
      </c>
      <c r="N23" s="9" t="n">
        <v>1</v>
      </c>
      <c r="O23" s="9" t="n">
        <v>0</v>
      </c>
      <c r="P23" s="9" t="n">
        <v>0</v>
      </c>
      <c r="Q23" s="12" t="n">
        <v>0</v>
      </c>
      <c r="R23" s="12" t="n">
        <v>0</v>
      </c>
      <c r="S23" s="9">
        <f>H23+Q23-R23</f>
        <v/>
      </c>
      <c r="T23" s="12" t="n">
        <v>14</v>
      </c>
      <c r="U23" s="12" t="n">
        <v>7</v>
      </c>
      <c r="V23" s="12" t="n">
        <v>7</v>
      </c>
      <c r="W23" s="10">
        <f>K23*(T23+U23)</f>
        <v/>
      </c>
      <c r="X23" s="10">
        <f>K23*(T23+U23+V23)</f>
        <v/>
      </c>
      <c r="Y23" s="10">
        <f>IF(K23&gt;0,H23/K23,99999)</f>
        <v/>
      </c>
      <c r="Z23" s="8">
        <f>IF(AND(OR(L23&gt;=1,M23&lt;0.95),Y23&gt;120),"DATA CONFLICT - VERIFY",IF(OR(L23&gt;=1,M23&lt;0.95,Y23&lt;=14),"SERVICE / STOCKOUT REVIEW",IF(Y23&gt;120,"OVERSTOCK REVIEW",IF(S23&lt;=W23,"REPLENISHMENT REVIEW","NORMAL MONITORING"))))</f>
        <v/>
      </c>
      <c r="AA23" s="9">
        <f>IF(OR(Z23="DATA CONFLICT - VERIFY",Z23="SERVICE / STOCKOUT REVIEW"),0,IF(S23&lt;=W23,MAX(0,ROUNDUP(X23-S23,0)),0))</f>
        <v/>
      </c>
      <c r="AB23" s="8">
        <f>IF(Z23="DATA CONFLICT - VERIFY","P1 - DATA CONFLICT",IF(Z23="SERVICE / STOCKOUT REVIEW","P1 - SERVICE",IF(Z23="OVERSTOCK REVIEW","P2 - OVERSTOCK",IF(Z23="REPLENISHMENT REVIEW","P2 - REPLENISH","P3 - MONITOR"))))</f>
        <v/>
      </c>
      <c r="AC23" s="10" t="n">
        <v>6296.410268456376</v>
      </c>
      <c r="AD23" s="10" t="n">
        <v>5981.589755033557</v>
      </c>
      <c r="AE23" s="10">
        <f>IF(OR(AD23="",H23=""),"",H23*AD23)</f>
        <v/>
      </c>
    </row>
    <row r="24">
      <c r="A24" s="13" t="inlineStr">
        <is>
          <t>2022-12-31</t>
        </is>
      </c>
      <c r="B24" s="13" t="n">
        <v>1280</v>
      </c>
      <c r="C24" s="14" t="inlineStr">
        <is>
          <t>VietMode MA-16</t>
        </is>
      </c>
      <c r="D24" s="14" t="inlineStr">
        <is>
          <t>Casual</t>
        </is>
      </c>
      <c r="E24" s="13" t="inlineStr">
        <is>
          <t>All-weather</t>
        </is>
      </c>
      <c r="F24" s="13" t="inlineStr">
        <is>
          <t>S</t>
        </is>
      </c>
      <c r="G24" s="13" t="inlineStr">
        <is>
          <t>red</t>
        </is>
      </c>
      <c r="H24" s="15" t="n">
        <v>6</v>
      </c>
      <c r="I24" s="15" t="n">
        <v>4</v>
      </c>
      <c r="J24" s="16" t="n">
        <v>3</v>
      </c>
      <c r="K24" s="16">
        <f>IFERROR(J24/30,0)</f>
        <v/>
      </c>
      <c r="L24" s="15" t="n">
        <v>1</v>
      </c>
      <c r="M24" s="17" t="n">
        <v>0.9667</v>
      </c>
      <c r="N24" s="15" t="n">
        <v>1</v>
      </c>
      <c r="O24" s="15" t="n">
        <v>0</v>
      </c>
      <c r="P24" s="15" t="n">
        <v>0</v>
      </c>
      <c r="Q24" s="12" t="n">
        <v>0</v>
      </c>
      <c r="R24" s="12" t="n">
        <v>0</v>
      </c>
      <c r="S24" s="15">
        <f>H24+Q24-R24</f>
        <v/>
      </c>
      <c r="T24" s="12" t="n">
        <v>14</v>
      </c>
      <c r="U24" s="12" t="n">
        <v>7</v>
      </c>
      <c r="V24" s="12" t="n">
        <v>7</v>
      </c>
      <c r="W24" s="16">
        <f>K24*(T24+U24)</f>
        <v/>
      </c>
      <c r="X24" s="16">
        <f>K24*(T24+U24+V24)</f>
        <v/>
      </c>
      <c r="Y24" s="16">
        <f>IF(K24&gt;0,H24/K24,99999)</f>
        <v/>
      </c>
      <c r="Z24" s="14">
        <f>IF(AND(OR(L24&gt;=1,M24&lt;0.95),Y24&gt;120),"DATA CONFLICT - VERIFY",IF(OR(L24&gt;=1,M24&lt;0.95,Y24&lt;=14),"SERVICE / STOCKOUT REVIEW",IF(Y24&gt;120,"OVERSTOCK REVIEW",IF(S24&lt;=W24,"REPLENISHMENT REVIEW","NORMAL MONITORING"))))</f>
        <v/>
      </c>
      <c r="AA24" s="15">
        <f>IF(OR(Z24="DATA CONFLICT - VERIFY",Z24="SERVICE / STOCKOUT REVIEW"),0,IF(S24&lt;=W24,MAX(0,ROUNDUP(X24-S24,0)),0))</f>
        <v/>
      </c>
      <c r="AB24" s="14">
        <f>IF(Z24="DATA CONFLICT - VERIFY","P1 - DATA CONFLICT",IF(Z24="SERVICE / STOCKOUT REVIEW","P1 - SERVICE",IF(Z24="OVERSTOCK REVIEW","P2 - OVERSTOCK",IF(Z24="REPLENISHMENT REVIEW","P2 - REPLENISH","P3 - MONITOR"))))</f>
        <v/>
      </c>
      <c r="AC24" s="16" t="n">
        <v>5373.012857142858</v>
      </c>
      <c r="AD24" s="16" t="n">
        <v>5104.362214285715</v>
      </c>
      <c r="AE24" s="16">
        <f>IF(OR(AD24="",H24=""),"",H24*AD24)</f>
        <v/>
      </c>
    </row>
    <row r="25">
      <c r="A25" s="7" t="inlineStr">
        <is>
          <t>2022-12-31</t>
        </is>
      </c>
      <c r="B25" s="7" t="n">
        <v>1289</v>
      </c>
      <c r="C25" s="8" t="inlineStr">
        <is>
          <t>VietMode MA-25</t>
        </is>
      </c>
      <c r="D25" s="8" t="inlineStr">
        <is>
          <t>Casual</t>
        </is>
      </c>
      <c r="E25" s="7" t="inlineStr">
        <is>
          <t>All-weather</t>
        </is>
      </c>
      <c r="F25" s="7" t="inlineStr">
        <is>
          <t>M</t>
        </is>
      </c>
      <c r="G25" s="7" t="inlineStr">
        <is>
          <t>yellow</t>
        </is>
      </c>
      <c r="H25" s="9" t="n">
        <v>6</v>
      </c>
      <c r="I25" s="9" t="n">
        <v>1</v>
      </c>
      <c r="J25" s="10" t="n">
        <v>1.333333333333333</v>
      </c>
      <c r="K25" s="10">
        <f>IFERROR(J25/30,0)</f>
        <v/>
      </c>
      <c r="L25" s="9" t="n">
        <v>2</v>
      </c>
      <c r="M25" s="11" t="n">
        <v>0.9333</v>
      </c>
      <c r="N25" s="9" t="n">
        <v>1</v>
      </c>
      <c r="O25" s="9" t="n">
        <v>1</v>
      </c>
      <c r="P25" s="9" t="n">
        <v>0</v>
      </c>
      <c r="Q25" s="12" t="n">
        <v>0</v>
      </c>
      <c r="R25" s="12" t="n">
        <v>0</v>
      </c>
      <c r="S25" s="9">
        <f>H25+Q25-R25</f>
        <v/>
      </c>
      <c r="T25" s="12" t="n">
        <v>14</v>
      </c>
      <c r="U25" s="12" t="n">
        <v>7</v>
      </c>
      <c r="V25" s="12" t="n">
        <v>7</v>
      </c>
      <c r="W25" s="10">
        <f>K25*(T25+U25)</f>
        <v/>
      </c>
      <c r="X25" s="10">
        <f>K25*(T25+U25+V25)</f>
        <v/>
      </c>
      <c r="Y25" s="10">
        <f>IF(K25&gt;0,H25/K25,99999)</f>
        <v/>
      </c>
      <c r="Z25" s="8">
        <f>IF(AND(OR(L25&gt;=1,M25&lt;0.95),Y25&gt;120),"DATA CONFLICT - VERIFY",IF(OR(L25&gt;=1,M25&lt;0.95,Y25&lt;=14),"SERVICE / STOCKOUT REVIEW",IF(Y25&gt;120,"OVERSTOCK REVIEW",IF(S25&lt;=W25,"REPLENISHMENT REVIEW","NORMAL MONITORING"))))</f>
        <v/>
      </c>
      <c r="AA25" s="9">
        <f>IF(OR(Z25="DATA CONFLICT - VERIFY",Z25="SERVICE / STOCKOUT REVIEW"),0,IF(S25&lt;=W25,MAX(0,ROUNDUP(X25-S25,0)),0))</f>
        <v/>
      </c>
      <c r="AB25" s="8">
        <f>IF(Z25="DATA CONFLICT - VERIFY","P1 - DATA CONFLICT",IF(Z25="SERVICE / STOCKOUT REVIEW","P1 - SERVICE",IF(Z25="OVERSTOCK REVIEW","P2 - OVERSTOCK",IF(Z25="REPLENISHMENT REVIEW","P2 - REPLENISH","P3 - MONITOR"))))</f>
        <v/>
      </c>
      <c r="AC25" s="10" t="n">
        <v>5669.370000000001</v>
      </c>
      <c r="AD25" s="10" t="n">
        <v>5385.901500000001</v>
      </c>
      <c r="AE25" s="10">
        <f>IF(OR(AD25="",H25=""),"",H25*AD25)</f>
        <v/>
      </c>
    </row>
    <row r="26">
      <c r="A26" s="13" t="inlineStr">
        <is>
          <t>2022-12-31</t>
        </is>
      </c>
      <c r="B26" s="13" t="n">
        <v>1299</v>
      </c>
      <c r="C26" s="14" t="inlineStr">
        <is>
          <t>VietMode MA-35</t>
        </is>
      </c>
      <c r="D26" s="14" t="inlineStr">
        <is>
          <t>Casual</t>
        </is>
      </c>
      <c r="E26" s="13" t="inlineStr">
        <is>
          <t>All-weather</t>
        </is>
      </c>
      <c r="F26" s="13" t="inlineStr">
        <is>
          <t>XL</t>
        </is>
      </c>
      <c r="G26" s="13" t="inlineStr">
        <is>
          <t>yellow</t>
        </is>
      </c>
      <c r="H26" s="15" t="n">
        <v>7</v>
      </c>
      <c r="I26" s="15" t="n">
        <v>1</v>
      </c>
      <c r="J26" s="16" t="n">
        <v>1</v>
      </c>
      <c r="K26" s="16">
        <f>IFERROR(J26/30,0)</f>
        <v/>
      </c>
      <c r="L26" s="15" t="n">
        <v>1</v>
      </c>
      <c r="M26" s="17" t="n">
        <v>0.9667</v>
      </c>
      <c r="N26" s="15" t="n">
        <v>1</v>
      </c>
      <c r="O26" s="15" t="n">
        <v>1</v>
      </c>
      <c r="P26" s="15" t="n">
        <v>0</v>
      </c>
      <c r="Q26" s="12" t="n">
        <v>0</v>
      </c>
      <c r="R26" s="12" t="n">
        <v>0</v>
      </c>
      <c r="S26" s="15">
        <f>H26+Q26-R26</f>
        <v/>
      </c>
      <c r="T26" s="12" t="n">
        <v>14</v>
      </c>
      <c r="U26" s="12" t="n">
        <v>7</v>
      </c>
      <c r="V26" s="12" t="n">
        <v>7</v>
      </c>
      <c r="W26" s="16">
        <f>K26*(T26+U26)</f>
        <v/>
      </c>
      <c r="X26" s="16">
        <f>K26*(T26+U26+V26)</f>
        <v/>
      </c>
      <c r="Y26" s="16">
        <f>IF(K26&gt;0,H26/K26,99999)</f>
        <v/>
      </c>
      <c r="Z26" s="14">
        <f>IF(AND(OR(L26&gt;=1,M26&lt;0.95),Y26&gt;120),"DATA CONFLICT - VERIFY",IF(OR(L26&gt;=1,M26&lt;0.95,Y26&lt;=14),"SERVICE / STOCKOUT REVIEW",IF(Y26&gt;120,"OVERSTOCK REVIEW",IF(S26&lt;=W26,"REPLENISHMENT REVIEW","NORMAL MONITORING"))))</f>
        <v/>
      </c>
      <c r="AA26" s="15">
        <f>IF(OR(Z26="DATA CONFLICT - VERIFY",Z26="SERVICE / STOCKOUT REVIEW"),0,IF(S26&lt;=W26,MAX(0,ROUNDUP(X26-S26,0)),0))</f>
        <v/>
      </c>
      <c r="AB26" s="14">
        <f>IF(Z26="DATA CONFLICT - VERIFY","P1 - DATA CONFLICT",IF(Z26="SERVICE / STOCKOUT REVIEW","P1 - SERVICE",IF(Z26="OVERSTOCK REVIEW","P2 - OVERSTOCK",IF(Z26="REPLENISHMENT REVIEW","P2 - REPLENISH","P3 - MONITOR"))))</f>
        <v/>
      </c>
      <c r="AC26" s="16" t="n">
        <v>6504.159827586207</v>
      </c>
      <c r="AD26" s="16" t="n">
        <v>6178.951836206897</v>
      </c>
      <c r="AE26" s="16">
        <f>IF(OR(AD26="",H26=""),"",H26*AD26)</f>
        <v/>
      </c>
    </row>
    <row r="27">
      <c r="A27" s="7" t="inlineStr">
        <is>
          <t>2022-12-31</t>
        </is>
      </c>
      <c r="B27" s="7" t="n">
        <v>1301</v>
      </c>
      <c r="C27" s="8" t="inlineStr">
        <is>
          <t>VietMode MA-37</t>
        </is>
      </c>
      <c r="D27" s="8" t="inlineStr">
        <is>
          <t>Casual</t>
        </is>
      </c>
      <c r="E27" s="7" t="inlineStr">
        <is>
          <t>All-weather</t>
        </is>
      </c>
      <c r="F27" s="7" t="inlineStr">
        <is>
          <t>M</t>
        </is>
      </c>
      <c r="G27" s="7" t="inlineStr">
        <is>
          <t>black</t>
        </is>
      </c>
      <c r="H27" s="9" t="n">
        <v>4</v>
      </c>
      <c r="I27" s="9" t="n">
        <v>6</v>
      </c>
      <c r="J27" s="10" t="n">
        <v>4.666666666666667</v>
      </c>
      <c r="K27" s="10">
        <f>IFERROR(J27/30,0)</f>
        <v/>
      </c>
      <c r="L27" s="9" t="n">
        <v>2</v>
      </c>
      <c r="M27" s="11" t="n">
        <v>0.9333</v>
      </c>
      <c r="N27" s="9" t="n">
        <v>1</v>
      </c>
      <c r="O27" s="9" t="n">
        <v>0</v>
      </c>
      <c r="P27" s="9" t="n">
        <v>0</v>
      </c>
      <c r="Q27" s="12" t="n">
        <v>0</v>
      </c>
      <c r="R27" s="12" t="n">
        <v>0</v>
      </c>
      <c r="S27" s="9">
        <f>H27+Q27-R27</f>
        <v/>
      </c>
      <c r="T27" s="12" t="n">
        <v>14</v>
      </c>
      <c r="U27" s="12" t="n">
        <v>7</v>
      </c>
      <c r="V27" s="12" t="n">
        <v>7</v>
      </c>
      <c r="W27" s="10">
        <f>K27*(T27+U27)</f>
        <v/>
      </c>
      <c r="X27" s="10">
        <f>K27*(T27+U27+V27)</f>
        <v/>
      </c>
      <c r="Y27" s="10">
        <f>IF(K27&gt;0,H27/K27,99999)</f>
        <v/>
      </c>
      <c r="Z27" s="8">
        <f>IF(AND(OR(L27&gt;=1,M27&lt;0.95),Y27&gt;120),"DATA CONFLICT - VERIFY",IF(OR(L27&gt;=1,M27&lt;0.95,Y27&lt;=14),"SERVICE / STOCKOUT REVIEW",IF(Y27&gt;120,"OVERSTOCK REVIEW",IF(S27&lt;=W27,"REPLENISHMENT REVIEW","NORMAL MONITORING"))))</f>
        <v/>
      </c>
      <c r="AA27" s="9">
        <f>IF(OR(Z27="DATA CONFLICT - VERIFY",Z27="SERVICE / STOCKOUT REVIEW"),0,IF(S27&lt;=W27,MAX(0,ROUNDUP(X27-S27,0)),0))</f>
        <v/>
      </c>
      <c r="AB27" s="8">
        <f>IF(Z27="DATA CONFLICT - VERIFY","P1 - DATA CONFLICT",IF(Z27="SERVICE / STOCKOUT REVIEW","P1 - SERVICE",IF(Z27="OVERSTOCK REVIEW","P2 - OVERSTOCK",IF(Z27="REPLENISHMENT REVIEW","P2 - REPLENISH","P3 - MONITOR"))))</f>
        <v/>
      </c>
      <c r="AC27" s="10" t="n">
        <v>6171.255906040268</v>
      </c>
      <c r="AD27" s="10" t="n">
        <v>4382.208818879195</v>
      </c>
      <c r="AE27" s="10">
        <f>IF(OR(AD27="",H27=""),"",H27*AD27)</f>
        <v/>
      </c>
    </row>
    <row r="28">
      <c r="A28" s="13" t="inlineStr">
        <is>
          <t>2022-12-31</t>
        </is>
      </c>
      <c r="B28" s="13" t="n">
        <v>1304</v>
      </c>
      <c r="C28" s="14" t="inlineStr">
        <is>
          <t>VietMode MA-40</t>
        </is>
      </c>
      <c r="D28" s="14" t="inlineStr">
        <is>
          <t>Casual</t>
        </is>
      </c>
      <c r="E28" s="13" t="inlineStr">
        <is>
          <t>All-weather</t>
        </is>
      </c>
      <c r="F28" s="13" t="inlineStr">
        <is>
          <t>S</t>
        </is>
      </c>
      <c r="G28" s="13" t="inlineStr">
        <is>
          <t>white</t>
        </is>
      </c>
      <c r="H28" s="15" t="n">
        <v>6</v>
      </c>
      <c r="I28" s="15" t="n">
        <v>2</v>
      </c>
      <c r="J28" s="16" t="n">
        <v>1.666666666666667</v>
      </c>
      <c r="K28" s="16">
        <f>IFERROR(J28/30,0)</f>
        <v/>
      </c>
      <c r="L28" s="15" t="n">
        <v>0</v>
      </c>
      <c r="M28" s="17" t="n">
        <v>1</v>
      </c>
      <c r="N28" s="15" t="n">
        <v>0</v>
      </c>
      <c r="O28" s="15" t="n">
        <v>0</v>
      </c>
      <c r="P28" s="15" t="n">
        <v>0</v>
      </c>
      <c r="Q28" s="12" t="n">
        <v>0</v>
      </c>
      <c r="R28" s="12" t="n">
        <v>0</v>
      </c>
      <c r="S28" s="15">
        <f>H28+Q28-R28</f>
        <v/>
      </c>
      <c r="T28" s="12" t="n">
        <v>14</v>
      </c>
      <c r="U28" s="12" t="n">
        <v>7</v>
      </c>
      <c r="V28" s="12" t="n">
        <v>7</v>
      </c>
      <c r="W28" s="16">
        <f>K28*(T28+U28)</f>
        <v/>
      </c>
      <c r="X28" s="16">
        <f>K28*(T28+U28+V28)</f>
        <v/>
      </c>
      <c r="Y28" s="16">
        <f>IF(K28&gt;0,H28/K28,99999)</f>
        <v/>
      </c>
      <c r="Z28" s="14">
        <f>IF(AND(OR(L28&gt;=1,M28&lt;0.95),Y28&gt;120),"DATA CONFLICT - VERIFY",IF(OR(L28&gt;=1,M28&lt;0.95,Y28&lt;=14),"SERVICE / STOCKOUT REVIEW",IF(Y28&gt;120,"OVERSTOCK REVIEW",IF(S28&lt;=W28,"REPLENISHMENT REVIEW","NORMAL MONITORING"))))</f>
        <v/>
      </c>
      <c r="AA28" s="15">
        <f>IF(OR(Z28="DATA CONFLICT - VERIFY",Z28="SERVICE / STOCKOUT REVIEW"),0,IF(S28&lt;=W28,MAX(0,ROUNDUP(X28-S28,0)),0))</f>
        <v/>
      </c>
      <c r="AB28" s="14">
        <f>IF(Z28="DATA CONFLICT - VERIFY","P1 - DATA CONFLICT",IF(Z28="SERVICE / STOCKOUT REVIEW","P1 - SERVICE",IF(Z28="OVERSTOCK REVIEW","P2 - OVERSTOCK",IF(Z28="REPLENISHMENT REVIEW","P2 - REPLENISH","P3 - MONITOR"))))</f>
        <v/>
      </c>
      <c r="AC28" s="16" t="n">
        <v>4895.008548387096</v>
      </c>
      <c r="AD28" s="16" t="n">
        <v>4420.682220048388</v>
      </c>
      <c r="AE28" s="16">
        <f>IF(OR(AD28="",H28=""),"",H28*AD28)</f>
        <v/>
      </c>
    </row>
    <row r="29">
      <c r="A29" s="7" t="inlineStr">
        <is>
          <t>2022-12-31</t>
        </is>
      </c>
      <c r="B29" s="7" t="n">
        <v>1305</v>
      </c>
      <c r="C29" s="8" t="inlineStr">
        <is>
          <t>VietMode MA-41</t>
        </is>
      </c>
      <c r="D29" s="8" t="inlineStr">
        <is>
          <t>Casual</t>
        </is>
      </c>
      <c r="E29" s="7" t="inlineStr">
        <is>
          <t>All-weather</t>
        </is>
      </c>
      <c r="F29" s="7" t="inlineStr">
        <is>
          <t>M</t>
        </is>
      </c>
      <c r="G29" s="7" t="inlineStr">
        <is>
          <t>purple</t>
        </is>
      </c>
      <c r="H29" s="9" t="n">
        <v>7</v>
      </c>
      <c r="I29" s="9" t="n">
        <v>3</v>
      </c>
      <c r="J29" s="10" t="n">
        <v>2.333333333333333</v>
      </c>
      <c r="K29" s="10">
        <f>IFERROR(J29/30,0)</f>
        <v/>
      </c>
      <c r="L29" s="9" t="n">
        <v>1</v>
      </c>
      <c r="M29" s="11" t="n">
        <v>0.9667</v>
      </c>
      <c r="N29" s="9" t="n">
        <v>1</v>
      </c>
      <c r="O29" s="9" t="n">
        <v>0</v>
      </c>
      <c r="P29" s="9" t="n">
        <v>0</v>
      </c>
      <c r="Q29" s="12" t="n">
        <v>0</v>
      </c>
      <c r="R29" s="12" t="n">
        <v>0</v>
      </c>
      <c r="S29" s="9">
        <f>H29+Q29-R29</f>
        <v/>
      </c>
      <c r="T29" s="12" t="n">
        <v>14</v>
      </c>
      <c r="U29" s="12" t="n">
        <v>7</v>
      </c>
      <c r="V29" s="12" t="n">
        <v>7</v>
      </c>
      <c r="W29" s="10">
        <f>K29*(T29+U29)</f>
        <v/>
      </c>
      <c r="X29" s="10">
        <f>K29*(T29+U29+V29)</f>
        <v/>
      </c>
      <c r="Y29" s="10">
        <f>IF(K29&gt;0,H29/K29,99999)</f>
        <v/>
      </c>
      <c r="Z29" s="8">
        <f>IF(AND(OR(L29&gt;=1,M29&lt;0.95),Y29&gt;120),"DATA CONFLICT - VERIFY",IF(OR(L29&gt;=1,M29&lt;0.95,Y29&lt;=14),"SERVICE / STOCKOUT REVIEW",IF(Y29&gt;120,"OVERSTOCK REVIEW",IF(S29&lt;=W29,"REPLENISHMENT REVIEW","NORMAL MONITORING"))))</f>
        <v/>
      </c>
      <c r="AA29" s="9">
        <f>IF(OR(Z29="DATA CONFLICT - VERIFY",Z29="SERVICE / STOCKOUT REVIEW"),0,IF(S29&lt;=W29,MAX(0,ROUNDUP(X29-S29,0)),0))</f>
        <v/>
      </c>
      <c r="AB29" s="8">
        <f>IF(Z29="DATA CONFLICT - VERIFY","P1 - DATA CONFLICT",IF(Z29="SERVICE / STOCKOUT REVIEW","P1 - SERVICE",IF(Z29="OVERSTOCK REVIEW","P2 - OVERSTOCK",IF(Z29="REPLENISHMENT REVIEW","P2 - REPLENISH","P3 - MONITOR"))))</f>
        <v/>
      </c>
      <c r="AC29" s="10" t="n">
        <v>5114.97</v>
      </c>
      <c r="AD29" s="10" t="n">
        <v>3436.748343</v>
      </c>
      <c r="AE29" s="10">
        <f>IF(OR(AD29="",H29=""),"",H29*AD29)</f>
        <v/>
      </c>
    </row>
    <row r="30">
      <c r="A30" s="13" t="inlineStr">
        <is>
          <t>2022-12-31</t>
        </is>
      </c>
      <c r="B30" s="13" t="n">
        <v>1308</v>
      </c>
      <c r="C30" s="14" t="inlineStr">
        <is>
          <t>VietMode MA-44</t>
        </is>
      </c>
      <c r="D30" s="14" t="inlineStr">
        <is>
          <t>Casual</t>
        </is>
      </c>
      <c r="E30" s="13" t="inlineStr">
        <is>
          <t>All-weather</t>
        </is>
      </c>
      <c r="F30" s="13" t="inlineStr">
        <is>
          <t>S</t>
        </is>
      </c>
      <c r="G30" s="13" t="inlineStr">
        <is>
          <t>pink</t>
        </is>
      </c>
      <c r="H30" s="15" t="n">
        <v>31</v>
      </c>
      <c r="I30" s="15" t="n">
        <v>2</v>
      </c>
      <c r="J30" s="16" t="n">
        <v>1.666666666666667</v>
      </c>
      <c r="K30" s="16">
        <f>IFERROR(J30/30,0)</f>
        <v/>
      </c>
      <c r="L30" s="15" t="n">
        <v>2</v>
      </c>
      <c r="M30" s="17" t="n">
        <v>0.9333</v>
      </c>
      <c r="N30" s="15" t="n">
        <v>1</v>
      </c>
      <c r="O30" s="15" t="n">
        <v>1</v>
      </c>
      <c r="P30" s="15" t="n">
        <v>0</v>
      </c>
      <c r="Q30" s="12" t="n">
        <v>0</v>
      </c>
      <c r="R30" s="12" t="n">
        <v>0</v>
      </c>
      <c r="S30" s="15">
        <f>H30+Q30-R30</f>
        <v/>
      </c>
      <c r="T30" s="12" t="n">
        <v>14</v>
      </c>
      <c r="U30" s="12" t="n">
        <v>7</v>
      </c>
      <c r="V30" s="12" t="n">
        <v>7</v>
      </c>
      <c r="W30" s="16">
        <f>K30*(T30+U30)</f>
        <v/>
      </c>
      <c r="X30" s="16">
        <f>K30*(T30+U30+V30)</f>
        <v/>
      </c>
      <c r="Y30" s="16">
        <f>IF(K30&gt;0,H30/K30,99999)</f>
        <v/>
      </c>
      <c r="Z30" s="14">
        <f>IF(AND(OR(L30&gt;=1,M30&lt;0.95),Y30&gt;120),"DATA CONFLICT - VERIFY",IF(OR(L30&gt;=1,M30&lt;0.95,Y30&lt;=14),"SERVICE / STOCKOUT REVIEW",IF(Y30&gt;120,"OVERSTOCK REVIEW",IF(S30&lt;=W30,"REPLENISHMENT REVIEW","NORMAL MONITORING"))))</f>
        <v/>
      </c>
      <c r="AA30" s="15">
        <f>IF(OR(Z30="DATA CONFLICT - VERIFY",Z30="SERVICE / STOCKOUT REVIEW"),0,IF(S30&lt;=W30,MAX(0,ROUNDUP(X30-S30,0)),0))</f>
        <v/>
      </c>
      <c r="AB30" s="14">
        <f>IF(Z30="DATA CONFLICT - VERIFY","P1 - DATA CONFLICT",IF(Z30="SERVICE / STOCKOUT REVIEW","P1 - SERVICE",IF(Z30="OVERSTOCK REVIEW","P2 - OVERSTOCK",IF(Z30="REPLENISHMENT REVIEW","P2 - REPLENISH","P3 - MONITOR"))))</f>
        <v/>
      </c>
      <c r="AC30" s="16" t="n">
        <v>9126.562048192773</v>
      </c>
      <c r="AD30" s="16" t="n">
        <v>6083.766261325301</v>
      </c>
      <c r="AE30" s="16">
        <f>IF(OR(AD30="",H30=""),"",H30*AD30)</f>
        <v/>
      </c>
    </row>
    <row r="31">
      <c r="A31" s="7" t="inlineStr">
        <is>
          <t>2022-12-31</t>
        </is>
      </c>
      <c r="B31" s="7" t="n">
        <v>1727</v>
      </c>
      <c r="C31" s="8" t="inlineStr">
        <is>
          <t>SaigonCore MA-02</t>
        </is>
      </c>
      <c r="D31" s="8" t="inlineStr">
        <is>
          <t>Casual</t>
        </is>
      </c>
      <c r="E31" s="7" t="inlineStr">
        <is>
          <t>All-weather</t>
        </is>
      </c>
      <c r="F31" s="7" t="inlineStr">
        <is>
          <t>XL</t>
        </is>
      </c>
      <c r="G31" s="7" t="inlineStr">
        <is>
          <t>silver</t>
        </is>
      </c>
      <c r="H31" s="9" t="n">
        <v>12</v>
      </c>
      <c r="I31" s="9" t="n">
        <v>2</v>
      </c>
      <c r="J31" s="10" t="n">
        <v>3</v>
      </c>
      <c r="K31" s="10">
        <f>IFERROR(J31/30,0)</f>
        <v/>
      </c>
      <c r="L31" s="9" t="n">
        <v>0</v>
      </c>
      <c r="M31" s="11" t="n">
        <v>1</v>
      </c>
      <c r="N31" s="9" t="n">
        <v>0</v>
      </c>
      <c r="O31" s="9" t="n">
        <v>1</v>
      </c>
      <c r="P31" s="9" t="n">
        <v>0</v>
      </c>
      <c r="Q31" s="12" t="n">
        <v>0</v>
      </c>
      <c r="R31" s="12" t="n">
        <v>0</v>
      </c>
      <c r="S31" s="9">
        <f>H31+Q31-R31</f>
        <v/>
      </c>
      <c r="T31" s="12" t="n">
        <v>14</v>
      </c>
      <c r="U31" s="12" t="n">
        <v>7</v>
      </c>
      <c r="V31" s="12" t="n">
        <v>7</v>
      </c>
      <c r="W31" s="10">
        <f>K31*(T31+U31)</f>
        <v/>
      </c>
      <c r="X31" s="10">
        <f>K31*(T31+U31+V31)</f>
        <v/>
      </c>
      <c r="Y31" s="10">
        <f>IF(K31&gt;0,H31/K31,99999)</f>
        <v/>
      </c>
      <c r="Z31" s="8">
        <f>IF(AND(OR(L31&gt;=1,M31&lt;0.95),Y31&gt;120),"DATA CONFLICT - VERIFY",IF(OR(L31&gt;=1,M31&lt;0.95,Y31&lt;=14),"SERVICE / STOCKOUT REVIEW",IF(Y31&gt;120,"OVERSTOCK REVIEW",IF(S31&lt;=W31,"REPLENISHMENT REVIEW","NORMAL MONITORING"))))</f>
        <v/>
      </c>
      <c r="AA31" s="9">
        <f>IF(OR(Z31="DATA CONFLICT - VERIFY",Z31="SERVICE / STOCKOUT REVIEW"),0,IF(S31&lt;=W31,MAX(0,ROUNDUP(X31-S31,0)),0))</f>
        <v/>
      </c>
      <c r="AB31" s="8">
        <f>IF(Z31="DATA CONFLICT - VERIFY","P1 - DATA CONFLICT",IF(Z31="SERVICE / STOCKOUT REVIEW","P1 - SERVICE",IF(Z31="OVERSTOCK REVIEW","P2 - OVERSTOCK",IF(Z31="REPLENISHMENT REVIEW","P2 - REPLENISH","P3 - MONITOR"))))</f>
        <v/>
      </c>
      <c r="AC31" s="10" t="n">
        <v>10073.7</v>
      </c>
      <c r="AD31" s="10" t="n">
        <v>7977.363029999999</v>
      </c>
      <c r="AE31" s="10">
        <f>IF(OR(AD31="",H31=""),"",H31*AD31)</f>
        <v/>
      </c>
    </row>
    <row r="32">
      <c r="A32" s="13" t="inlineStr">
        <is>
          <t>2022-12-31</t>
        </is>
      </c>
      <c r="B32" s="13" t="n">
        <v>1908</v>
      </c>
      <c r="C32" s="14" t="inlineStr">
        <is>
          <t>UrbanVN MA-01</t>
        </is>
      </c>
      <c r="D32" s="14" t="inlineStr">
        <is>
          <t>Casual</t>
        </is>
      </c>
      <c r="E32" s="13" t="inlineStr">
        <is>
          <t>All-weather</t>
        </is>
      </c>
      <c r="F32" s="13" t="inlineStr">
        <is>
          <t>S</t>
        </is>
      </c>
      <c r="G32" s="13" t="inlineStr">
        <is>
          <t>pink</t>
        </is>
      </c>
      <c r="H32" s="15" t="n">
        <v>82</v>
      </c>
      <c r="I32" s="15" t="n">
        <v>7</v>
      </c>
      <c r="J32" s="16" t="n">
        <v>8</v>
      </c>
      <c r="K32" s="16">
        <f>IFERROR(J32/30,0)</f>
        <v/>
      </c>
      <c r="L32" s="15" t="n">
        <v>0</v>
      </c>
      <c r="M32" s="17" t="n">
        <v>1</v>
      </c>
      <c r="N32" s="15" t="n">
        <v>0</v>
      </c>
      <c r="O32" s="15" t="n">
        <v>1</v>
      </c>
      <c r="P32" s="15" t="n">
        <v>0</v>
      </c>
      <c r="Q32" s="12" t="n">
        <v>0</v>
      </c>
      <c r="R32" s="12" t="n">
        <v>0</v>
      </c>
      <c r="S32" s="15">
        <f>H32+Q32-R32</f>
        <v/>
      </c>
      <c r="T32" s="12" t="n">
        <v>14</v>
      </c>
      <c r="U32" s="12" t="n">
        <v>7</v>
      </c>
      <c r="V32" s="12" t="n">
        <v>7</v>
      </c>
      <c r="W32" s="16">
        <f>K32*(T32+U32)</f>
        <v/>
      </c>
      <c r="X32" s="16">
        <f>K32*(T32+U32+V32)</f>
        <v/>
      </c>
      <c r="Y32" s="16">
        <f>IF(K32&gt;0,H32/K32,99999)</f>
        <v/>
      </c>
      <c r="Z32" s="14">
        <f>IF(AND(OR(L32&gt;=1,M32&lt;0.95),Y32&gt;120),"DATA CONFLICT - VERIFY",IF(OR(L32&gt;=1,M32&lt;0.95,Y32&lt;=14),"SERVICE / STOCKOUT REVIEW",IF(Y32&gt;120,"OVERSTOCK REVIEW",IF(S32&lt;=W32,"REPLENISHMENT REVIEW","NORMAL MONITORING"))))</f>
        <v/>
      </c>
      <c r="AA32" s="15">
        <f>IF(OR(Z32="DATA CONFLICT - VERIFY",Z32="SERVICE / STOCKOUT REVIEW"),0,IF(S32&lt;=W32,MAX(0,ROUNDUP(X32-S32,0)),0))</f>
        <v/>
      </c>
      <c r="AB32" s="14">
        <f>IF(Z32="DATA CONFLICT - VERIFY","P1 - DATA CONFLICT",IF(Z32="SERVICE / STOCKOUT REVIEW","P1 - SERVICE",IF(Z32="OVERSTOCK REVIEW","P2 - OVERSTOCK",IF(Z32="REPLENISHMENT REVIEW","P2 - REPLENISH","P3 - MONITOR"))))</f>
        <v/>
      </c>
      <c r="AC32" s="16" t="n">
        <v>5137.838181818182</v>
      </c>
      <c r="AD32" s="16" t="n">
        <v>4880.946272727272</v>
      </c>
      <c r="AE32" s="16">
        <f>IF(OR(AD32="",H32=""),"",H32*AD32)</f>
        <v/>
      </c>
    </row>
    <row r="33">
      <c r="A33" s="7" t="inlineStr">
        <is>
          <t>2022-12-31</t>
        </is>
      </c>
      <c r="B33" s="7" t="n">
        <v>1909</v>
      </c>
      <c r="C33" s="8" t="inlineStr">
        <is>
          <t>UrbanVN MA-02</t>
        </is>
      </c>
      <c r="D33" s="8" t="inlineStr">
        <is>
          <t>Casual</t>
        </is>
      </c>
      <c r="E33" s="7" t="inlineStr">
        <is>
          <t>All-weather</t>
        </is>
      </c>
      <c r="F33" s="7" t="inlineStr">
        <is>
          <t>M</t>
        </is>
      </c>
      <c r="G33" s="7" t="inlineStr">
        <is>
          <t>yellow</t>
        </is>
      </c>
      <c r="H33" s="9" t="n">
        <v>117</v>
      </c>
      <c r="I33" s="9" t="n">
        <v>2</v>
      </c>
      <c r="J33" s="10" t="n">
        <v>1.666666666666667</v>
      </c>
      <c r="K33" s="10">
        <f>IFERROR(J33/30,0)</f>
        <v/>
      </c>
      <c r="L33" s="9" t="n">
        <v>1</v>
      </c>
      <c r="M33" s="11" t="n">
        <v>0.9667</v>
      </c>
      <c r="N33" s="9" t="n">
        <v>1</v>
      </c>
      <c r="O33" s="9" t="n">
        <v>1</v>
      </c>
      <c r="P33" s="9" t="n">
        <v>0</v>
      </c>
      <c r="Q33" s="12" t="n">
        <v>0</v>
      </c>
      <c r="R33" s="12" t="n">
        <v>0</v>
      </c>
      <c r="S33" s="9">
        <f>H33+Q33-R33</f>
        <v/>
      </c>
      <c r="T33" s="12" t="n">
        <v>14</v>
      </c>
      <c r="U33" s="12" t="n">
        <v>7</v>
      </c>
      <c r="V33" s="12" t="n">
        <v>7</v>
      </c>
      <c r="W33" s="10">
        <f>K33*(T33+U33)</f>
        <v/>
      </c>
      <c r="X33" s="10">
        <f>K33*(T33+U33+V33)</f>
        <v/>
      </c>
      <c r="Y33" s="10">
        <f>IF(K33&gt;0,H33/K33,99999)</f>
        <v/>
      </c>
      <c r="Z33" s="8">
        <f>IF(AND(OR(L33&gt;=1,M33&lt;0.95),Y33&gt;120),"DATA CONFLICT - VERIFY",IF(OR(L33&gt;=1,M33&lt;0.95,Y33&lt;=14),"SERVICE / STOCKOUT REVIEW",IF(Y33&gt;120,"OVERSTOCK REVIEW",IF(S33&lt;=W33,"REPLENISHMENT REVIEW","NORMAL MONITORING"))))</f>
        <v/>
      </c>
      <c r="AA33" s="9">
        <f>IF(OR(Z33="DATA CONFLICT - VERIFY",Z33="SERVICE / STOCKOUT REVIEW"),0,IF(S33&lt;=W33,MAX(0,ROUNDUP(X33-S33,0)),0))</f>
        <v/>
      </c>
      <c r="AB33" s="8">
        <f>IF(Z33="DATA CONFLICT - VERIFY","P1 - DATA CONFLICT",IF(Z33="SERVICE / STOCKOUT REVIEW","P1 - SERVICE",IF(Z33="OVERSTOCK REVIEW","P2 - OVERSTOCK",IF(Z33="REPLENISHMENT REVIEW","P2 - REPLENISH","P3 - MONITOR"))))</f>
        <v/>
      </c>
      <c r="AC33" s="10" t="n">
        <v>2481.642785622593</v>
      </c>
      <c r="AD33" s="10" t="n">
        <v>2028.494812967908</v>
      </c>
      <c r="AE33" s="10">
        <f>IF(OR(AD33="",H33=""),"",H33*AD33)</f>
        <v/>
      </c>
    </row>
    <row r="34">
      <c r="A34" s="13" t="inlineStr">
        <is>
          <t>2022-12-31</t>
        </is>
      </c>
      <c r="B34" s="13" t="n">
        <v>1915</v>
      </c>
      <c r="C34" s="14" t="inlineStr">
        <is>
          <t>UrbanVN MA-08</t>
        </is>
      </c>
      <c r="D34" s="14" t="inlineStr">
        <is>
          <t>Casual</t>
        </is>
      </c>
      <c r="E34" s="13" t="inlineStr">
        <is>
          <t>All-weather</t>
        </is>
      </c>
      <c r="F34" s="13" t="inlineStr">
        <is>
          <t>XL</t>
        </is>
      </c>
      <c r="G34" s="13" t="inlineStr">
        <is>
          <t>purple</t>
        </is>
      </c>
      <c r="H34" s="15" t="n">
        <v>148</v>
      </c>
      <c r="I34" s="15" t="n">
        <v>7</v>
      </c>
      <c r="J34" s="16" t="n">
        <v>5.666666666666667</v>
      </c>
      <c r="K34" s="16">
        <f>IFERROR(J34/30,0)</f>
        <v/>
      </c>
      <c r="L34" s="15" t="n">
        <v>2</v>
      </c>
      <c r="M34" s="17" t="n">
        <v>0.9333</v>
      </c>
      <c r="N34" s="15" t="n">
        <v>1</v>
      </c>
      <c r="O34" s="15" t="n">
        <v>1</v>
      </c>
      <c r="P34" s="15" t="n">
        <v>0</v>
      </c>
      <c r="Q34" s="12" t="n">
        <v>0</v>
      </c>
      <c r="R34" s="12" t="n">
        <v>0</v>
      </c>
      <c r="S34" s="15">
        <f>H34+Q34-R34</f>
        <v/>
      </c>
      <c r="T34" s="12" t="n">
        <v>14</v>
      </c>
      <c r="U34" s="12" t="n">
        <v>7</v>
      </c>
      <c r="V34" s="12" t="n">
        <v>7</v>
      </c>
      <c r="W34" s="16">
        <f>K34*(T34+U34)</f>
        <v/>
      </c>
      <c r="X34" s="16">
        <f>K34*(T34+U34+V34)</f>
        <v/>
      </c>
      <c r="Y34" s="16">
        <f>IF(K34&gt;0,H34/K34,99999)</f>
        <v/>
      </c>
      <c r="Z34" s="14">
        <f>IF(AND(OR(L34&gt;=1,M34&lt;0.95),Y34&gt;120),"DATA CONFLICT - VERIFY",IF(OR(L34&gt;=1,M34&lt;0.95,Y34&lt;=14),"SERVICE / STOCKOUT REVIEW",IF(Y34&gt;120,"OVERSTOCK REVIEW",IF(S34&lt;=W34,"REPLENISHMENT REVIEW","NORMAL MONITORING"))))</f>
        <v/>
      </c>
      <c r="AA34" s="15">
        <f>IF(OR(Z34="DATA CONFLICT - VERIFY",Z34="SERVICE / STOCKOUT REVIEW"),0,IF(S34&lt;=W34,MAX(0,ROUNDUP(X34-S34,0)),0))</f>
        <v/>
      </c>
      <c r="AB34" s="14">
        <f>IF(Z34="DATA CONFLICT - VERIFY","P1 - DATA CONFLICT",IF(Z34="SERVICE / STOCKOUT REVIEW","P1 - SERVICE",IF(Z34="OVERSTOCK REVIEW","P2 - OVERSTOCK",IF(Z34="REPLENISHMENT REVIEW","P2 - REPLENISH","P3 - MONITOR"))))</f>
        <v/>
      </c>
      <c r="AC34" s="16" t="n">
        <v>5795.885337423313</v>
      </c>
      <c r="AD34" s="16" t="n">
        <v>3976.556930006135</v>
      </c>
      <c r="AE34" s="16">
        <f>IF(OR(AD34="",H34=""),"",H34*AD34)</f>
        <v/>
      </c>
    </row>
    <row r="35">
      <c r="A35" s="7" t="inlineStr">
        <is>
          <t>2022-12-31</t>
        </is>
      </c>
      <c r="B35" s="7" t="n">
        <v>1916</v>
      </c>
      <c r="C35" s="8" t="inlineStr">
        <is>
          <t>UrbanVN MA-09</t>
        </is>
      </c>
      <c r="D35" s="8" t="inlineStr">
        <is>
          <t>Casual</t>
        </is>
      </c>
      <c r="E35" s="7" t="inlineStr">
        <is>
          <t>All-weather</t>
        </is>
      </c>
      <c r="F35" s="7" t="inlineStr">
        <is>
          <t>S</t>
        </is>
      </c>
      <c r="G35" s="7" t="inlineStr">
        <is>
          <t>green</t>
        </is>
      </c>
      <c r="H35" s="9" t="n">
        <v>458</v>
      </c>
      <c r="I35" s="9" t="n">
        <v>7</v>
      </c>
      <c r="J35" s="10" t="n">
        <v>4.333333333333333</v>
      </c>
      <c r="K35" s="10">
        <f>IFERROR(J35/30,0)</f>
        <v/>
      </c>
      <c r="L35" s="9" t="n">
        <v>1</v>
      </c>
      <c r="M35" s="11" t="n">
        <v>0.9667</v>
      </c>
      <c r="N35" s="9" t="n">
        <v>1</v>
      </c>
      <c r="O35" s="9" t="n">
        <v>1</v>
      </c>
      <c r="P35" s="9" t="n">
        <v>0</v>
      </c>
      <c r="Q35" s="12" t="n">
        <v>0</v>
      </c>
      <c r="R35" s="12" t="n">
        <v>0</v>
      </c>
      <c r="S35" s="9">
        <f>H35+Q35-R35</f>
        <v/>
      </c>
      <c r="T35" s="12" t="n">
        <v>14</v>
      </c>
      <c r="U35" s="12" t="n">
        <v>7</v>
      </c>
      <c r="V35" s="12" t="n">
        <v>7</v>
      </c>
      <c r="W35" s="10">
        <f>K35*(T35+U35)</f>
        <v/>
      </c>
      <c r="X35" s="10">
        <f>K35*(T35+U35+V35)</f>
        <v/>
      </c>
      <c r="Y35" s="10">
        <f>IF(K35&gt;0,H35/K35,99999)</f>
        <v/>
      </c>
      <c r="Z35" s="8">
        <f>IF(AND(OR(L35&gt;=1,M35&lt;0.95),Y35&gt;120),"DATA CONFLICT - VERIFY",IF(OR(L35&gt;=1,M35&lt;0.95,Y35&lt;=14),"SERVICE / STOCKOUT REVIEW",IF(Y35&gt;120,"OVERSTOCK REVIEW",IF(S35&lt;=W35,"REPLENISHMENT REVIEW","NORMAL MONITORING"))))</f>
        <v/>
      </c>
      <c r="AA35" s="9">
        <f>IF(OR(Z35="DATA CONFLICT - VERIFY",Z35="SERVICE / STOCKOUT REVIEW"),0,IF(S35&lt;=W35,MAX(0,ROUNDUP(X35-S35,0)),0))</f>
        <v/>
      </c>
      <c r="AB35" s="8">
        <f>IF(Z35="DATA CONFLICT - VERIFY","P1 - DATA CONFLICT",IF(Z35="SERVICE / STOCKOUT REVIEW","P1 - SERVICE",IF(Z35="OVERSTOCK REVIEW","P2 - OVERSTOCK",IF(Z35="REPLENISHMENT REVIEW","P2 - REPLENISH","P3 - MONITOR"))))</f>
        <v/>
      </c>
      <c r="AC35" s="10" t="n">
        <v>3559.950301129235</v>
      </c>
      <c r="AD35" s="10" t="n">
        <v>3381.952786072773</v>
      </c>
      <c r="AE35" s="10">
        <f>IF(OR(AD35="",H35=""),"",H35*AD35)</f>
        <v/>
      </c>
    </row>
    <row r="36">
      <c r="A36" s="13" t="inlineStr">
        <is>
          <t>2022-12-31</t>
        </is>
      </c>
      <c r="B36" s="13" t="n">
        <v>1920</v>
      </c>
      <c r="C36" s="14" t="inlineStr">
        <is>
          <t>UrbanVN MA-13</t>
        </is>
      </c>
      <c r="D36" s="14" t="inlineStr">
        <is>
          <t>Casual</t>
        </is>
      </c>
      <c r="E36" s="13" t="inlineStr">
        <is>
          <t>All-weather</t>
        </is>
      </c>
      <c r="F36" s="13" t="inlineStr">
        <is>
          <t>S</t>
        </is>
      </c>
      <c r="G36" s="13" t="inlineStr">
        <is>
          <t>red</t>
        </is>
      </c>
      <c r="H36" s="15" t="n">
        <v>314</v>
      </c>
      <c r="I36" s="15" t="n">
        <v>10</v>
      </c>
      <c r="J36" s="16" t="n">
        <v>6.666666666666667</v>
      </c>
      <c r="K36" s="16">
        <f>IFERROR(J36/30,0)</f>
        <v/>
      </c>
      <c r="L36" s="15" t="n">
        <v>1</v>
      </c>
      <c r="M36" s="17" t="n">
        <v>0.9667</v>
      </c>
      <c r="N36" s="15" t="n">
        <v>1</v>
      </c>
      <c r="O36" s="15" t="n">
        <v>1</v>
      </c>
      <c r="P36" s="15" t="n">
        <v>0</v>
      </c>
      <c r="Q36" s="12" t="n">
        <v>0</v>
      </c>
      <c r="R36" s="12" t="n">
        <v>0</v>
      </c>
      <c r="S36" s="15">
        <f>H36+Q36-R36</f>
        <v/>
      </c>
      <c r="T36" s="12" t="n">
        <v>14</v>
      </c>
      <c r="U36" s="12" t="n">
        <v>7</v>
      </c>
      <c r="V36" s="12" t="n">
        <v>7</v>
      </c>
      <c r="W36" s="16">
        <f>K36*(T36+U36)</f>
        <v/>
      </c>
      <c r="X36" s="16">
        <f>K36*(T36+U36+V36)</f>
        <v/>
      </c>
      <c r="Y36" s="16">
        <f>IF(K36&gt;0,H36/K36,99999)</f>
        <v/>
      </c>
      <c r="Z36" s="14">
        <f>IF(AND(OR(L36&gt;=1,M36&lt;0.95),Y36&gt;120),"DATA CONFLICT - VERIFY",IF(OR(L36&gt;=1,M36&lt;0.95,Y36&lt;=14),"SERVICE / STOCKOUT REVIEW",IF(Y36&gt;120,"OVERSTOCK REVIEW",IF(S36&lt;=W36,"REPLENISHMENT REVIEW","NORMAL MONITORING"))))</f>
        <v/>
      </c>
      <c r="AA36" s="15">
        <f>IF(OR(Z36="DATA CONFLICT - VERIFY",Z36="SERVICE / STOCKOUT REVIEW"),0,IF(S36&lt;=W36,MAX(0,ROUNDUP(X36-S36,0)),0))</f>
        <v/>
      </c>
      <c r="AB36" s="14">
        <f>IF(Z36="DATA CONFLICT - VERIFY","P1 - DATA CONFLICT",IF(Z36="SERVICE / STOCKOUT REVIEW","P1 - SERVICE",IF(Z36="OVERSTOCK REVIEW","P2 - OVERSTOCK",IF(Z36="REPLENISHMENT REVIEW","P2 - REPLENISH","P3 - MONITOR"))))</f>
        <v/>
      </c>
      <c r="AC36" s="16" t="n">
        <v>3366.602972136223</v>
      </c>
      <c r="AD36" s="16" t="n">
        <v>3198.272823529412</v>
      </c>
      <c r="AE36" s="16">
        <f>IF(OR(AD36="",H36=""),"",H36*AD36)</f>
        <v/>
      </c>
    </row>
    <row r="37">
      <c r="A37" s="7" t="inlineStr">
        <is>
          <t>2022-12-31</t>
        </is>
      </c>
      <c r="B37" s="7" t="n">
        <v>2103</v>
      </c>
      <c r="C37" s="8" t="inlineStr">
        <is>
          <t>PhoenixWear MA-02</t>
        </is>
      </c>
      <c r="D37" s="8" t="inlineStr">
        <is>
          <t>Casual</t>
        </is>
      </c>
      <c r="E37" s="7" t="inlineStr">
        <is>
          <t>All-weather</t>
        </is>
      </c>
      <c r="F37" s="7" t="inlineStr">
        <is>
          <t>XL</t>
        </is>
      </c>
      <c r="G37" s="7" t="inlineStr">
        <is>
          <t>blue</t>
        </is>
      </c>
      <c r="H37" s="9" t="n">
        <v>22</v>
      </c>
      <c r="I37" s="9" t="n">
        <v>4</v>
      </c>
      <c r="J37" s="10" t="n">
        <v>4.666666666666667</v>
      </c>
      <c r="K37" s="10">
        <f>IFERROR(J37/30,0)</f>
        <v/>
      </c>
      <c r="L37" s="9" t="n">
        <v>2</v>
      </c>
      <c r="M37" s="11" t="n">
        <v>0.9333</v>
      </c>
      <c r="N37" s="9" t="n">
        <v>1</v>
      </c>
      <c r="O37" s="9" t="n">
        <v>1</v>
      </c>
      <c r="P37" s="9" t="n">
        <v>0</v>
      </c>
      <c r="Q37" s="12" t="n">
        <v>0</v>
      </c>
      <c r="R37" s="12" t="n">
        <v>0</v>
      </c>
      <c r="S37" s="9">
        <f>H37+Q37-R37</f>
        <v/>
      </c>
      <c r="T37" s="12" t="n">
        <v>14</v>
      </c>
      <c r="U37" s="12" t="n">
        <v>7</v>
      </c>
      <c r="V37" s="12" t="n">
        <v>7</v>
      </c>
      <c r="W37" s="10">
        <f>K37*(T37+U37)</f>
        <v/>
      </c>
      <c r="X37" s="10">
        <f>K37*(T37+U37+V37)</f>
        <v/>
      </c>
      <c r="Y37" s="10">
        <f>IF(K37&gt;0,H37/K37,99999)</f>
        <v/>
      </c>
      <c r="Z37" s="8">
        <f>IF(AND(OR(L37&gt;=1,M37&lt;0.95),Y37&gt;120),"DATA CONFLICT - VERIFY",IF(OR(L37&gt;=1,M37&lt;0.95,Y37&lt;=14),"SERVICE / STOCKOUT REVIEW",IF(Y37&gt;120,"OVERSTOCK REVIEW",IF(S37&lt;=W37,"REPLENISHMENT REVIEW","NORMAL MONITORING"))))</f>
        <v/>
      </c>
      <c r="AA37" s="9">
        <f>IF(OR(Z37="DATA CONFLICT - VERIFY",Z37="SERVICE / STOCKOUT REVIEW"),0,IF(S37&lt;=W37,MAX(0,ROUNDUP(X37-S37,0)),0))</f>
        <v/>
      </c>
      <c r="AB37" s="8">
        <f>IF(Z37="DATA CONFLICT - VERIFY","P1 - DATA CONFLICT",IF(Z37="SERVICE / STOCKOUT REVIEW","P1 - SERVICE",IF(Z37="OVERSTOCK REVIEW","P2 - OVERSTOCK",IF(Z37="REPLENISHMENT REVIEW","P2 - REPLENISH","P3 - MONITOR"))))</f>
        <v/>
      </c>
      <c r="AC37" s="10" t="n">
        <v>7489.311908713693</v>
      </c>
      <c r="AD37" s="10" t="n">
        <v>4647.118039356847</v>
      </c>
      <c r="AE37" s="10">
        <f>IF(OR(AD37="",H37=""),"",H37*AD37)</f>
        <v/>
      </c>
    </row>
    <row r="38">
      <c r="A38" s="13" t="inlineStr">
        <is>
          <t>2022-12-31</t>
        </is>
      </c>
      <c r="B38" s="13" t="n">
        <v>2104</v>
      </c>
      <c r="C38" s="14" t="inlineStr">
        <is>
          <t>PhoenixWear MA-03</t>
        </is>
      </c>
      <c r="D38" s="14" t="inlineStr">
        <is>
          <t>Casual</t>
        </is>
      </c>
      <c r="E38" s="13" t="inlineStr">
        <is>
          <t>All-weather</t>
        </is>
      </c>
      <c r="F38" s="13" t="inlineStr">
        <is>
          <t>S</t>
        </is>
      </c>
      <c r="G38" s="13" t="inlineStr">
        <is>
          <t>white</t>
        </is>
      </c>
      <c r="H38" s="15" t="n">
        <v>19</v>
      </c>
      <c r="I38" s="15" t="n">
        <v>3</v>
      </c>
      <c r="J38" s="16" t="n">
        <v>3</v>
      </c>
      <c r="K38" s="16">
        <f>IFERROR(J38/30,0)</f>
        <v/>
      </c>
      <c r="L38" s="15" t="n">
        <v>2</v>
      </c>
      <c r="M38" s="17" t="n">
        <v>0.9333</v>
      </c>
      <c r="N38" s="15" t="n">
        <v>1</v>
      </c>
      <c r="O38" s="15" t="n">
        <v>1</v>
      </c>
      <c r="P38" s="15" t="n">
        <v>0</v>
      </c>
      <c r="Q38" s="12" t="n">
        <v>0</v>
      </c>
      <c r="R38" s="12" t="n">
        <v>0</v>
      </c>
      <c r="S38" s="15">
        <f>H38+Q38-R38</f>
        <v/>
      </c>
      <c r="T38" s="12" t="n">
        <v>14</v>
      </c>
      <c r="U38" s="12" t="n">
        <v>7</v>
      </c>
      <c r="V38" s="12" t="n">
        <v>7</v>
      </c>
      <c r="W38" s="16">
        <f>K38*(T38+U38)</f>
        <v/>
      </c>
      <c r="X38" s="16">
        <f>K38*(T38+U38+V38)</f>
        <v/>
      </c>
      <c r="Y38" s="16">
        <f>IF(K38&gt;0,H38/K38,99999)</f>
        <v/>
      </c>
      <c r="Z38" s="14">
        <f>IF(AND(OR(L38&gt;=1,M38&lt;0.95),Y38&gt;120),"DATA CONFLICT - VERIFY",IF(OR(L38&gt;=1,M38&lt;0.95,Y38&lt;=14),"SERVICE / STOCKOUT REVIEW",IF(Y38&gt;120,"OVERSTOCK REVIEW",IF(S38&lt;=W38,"REPLENISHMENT REVIEW","NORMAL MONITORING"))))</f>
        <v/>
      </c>
      <c r="AA38" s="15">
        <f>IF(OR(Z38="DATA CONFLICT - VERIFY",Z38="SERVICE / STOCKOUT REVIEW"),0,IF(S38&lt;=W38,MAX(0,ROUNDUP(X38-S38,0)),0))</f>
        <v/>
      </c>
      <c r="AB38" s="14">
        <f>IF(Z38="DATA CONFLICT - VERIFY","P1 - DATA CONFLICT",IF(Z38="SERVICE / STOCKOUT REVIEW","P1 - SERVICE",IF(Z38="OVERSTOCK REVIEW","P2 - OVERSTOCK",IF(Z38="REPLENISHMENT REVIEW","P2 - REPLENISH","P3 - MONITOR"))))</f>
        <v/>
      </c>
      <c r="AC38" s="16" t="n">
        <v>6859.956826347306</v>
      </c>
      <c r="AD38" s="16" t="n">
        <v>6101.931597035928</v>
      </c>
      <c r="AE38" s="16">
        <f>IF(OR(AD38="",H38=""),"",H38*AD38)</f>
        <v/>
      </c>
    </row>
    <row r="39">
      <c r="A39" s="7" t="inlineStr">
        <is>
          <t>2022-12-31</t>
        </is>
      </c>
      <c r="B39" s="7" t="n">
        <v>2106</v>
      </c>
      <c r="C39" s="8" t="inlineStr">
        <is>
          <t>PhoenixWear MA-05</t>
        </is>
      </c>
      <c r="D39" s="8" t="inlineStr">
        <is>
          <t>Casual</t>
        </is>
      </c>
      <c r="E39" s="7" t="inlineStr">
        <is>
          <t>All-weather</t>
        </is>
      </c>
      <c r="F39" s="7" t="inlineStr">
        <is>
          <t>L</t>
        </is>
      </c>
      <c r="G39" s="7" t="inlineStr">
        <is>
          <t>green</t>
        </is>
      </c>
      <c r="H39" s="9" t="n">
        <v>11</v>
      </c>
      <c r="I39" s="9" t="n">
        <v>2</v>
      </c>
      <c r="J39" s="10" t="n">
        <v>2.333333333333333</v>
      </c>
      <c r="K39" s="10">
        <f>IFERROR(J39/30,0)</f>
        <v/>
      </c>
      <c r="L39" s="9" t="n">
        <v>2</v>
      </c>
      <c r="M39" s="11" t="n">
        <v>0.9333</v>
      </c>
      <c r="N39" s="9" t="n">
        <v>1</v>
      </c>
      <c r="O39" s="9" t="n">
        <v>1</v>
      </c>
      <c r="P39" s="9" t="n">
        <v>0</v>
      </c>
      <c r="Q39" s="12" t="n">
        <v>0</v>
      </c>
      <c r="R39" s="12" t="n">
        <v>0</v>
      </c>
      <c r="S39" s="9">
        <f>H39+Q39-R39</f>
        <v/>
      </c>
      <c r="T39" s="12" t="n">
        <v>14</v>
      </c>
      <c r="U39" s="12" t="n">
        <v>7</v>
      </c>
      <c r="V39" s="12" t="n">
        <v>7</v>
      </c>
      <c r="W39" s="10">
        <f>K39*(T39+U39)</f>
        <v/>
      </c>
      <c r="X39" s="10">
        <f>K39*(T39+U39+V39)</f>
        <v/>
      </c>
      <c r="Y39" s="10">
        <f>IF(K39&gt;0,H39/K39,99999)</f>
        <v/>
      </c>
      <c r="Z39" s="8">
        <f>IF(AND(OR(L39&gt;=1,M39&lt;0.95),Y39&gt;120),"DATA CONFLICT - VERIFY",IF(OR(L39&gt;=1,M39&lt;0.95,Y39&lt;=14),"SERVICE / STOCKOUT REVIEW",IF(Y39&gt;120,"OVERSTOCK REVIEW",IF(S39&lt;=W39,"REPLENISHMENT REVIEW","NORMAL MONITORING"))))</f>
        <v/>
      </c>
      <c r="AA39" s="9">
        <f>IF(OR(Z39="DATA CONFLICT - VERIFY",Z39="SERVICE / STOCKOUT REVIEW"),0,IF(S39&lt;=W39,MAX(0,ROUNDUP(X39-S39,0)),0))</f>
        <v/>
      </c>
      <c r="AB39" s="8">
        <f>IF(Z39="DATA CONFLICT - VERIFY","P1 - DATA CONFLICT",IF(Z39="SERVICE / STOCKOUT REVIEW","P1 - SERVICE",IF(Z39="OVERSTOCK REVIEW","P2 - OVERSTOCK",IF(Z39="REPLENISHMENT REVIEW","P2 - REPLENISH","P3 - MONITOR"))))</f>
        <v/>
      </c>
      <c r="AC39" s="10" t="n">
        <v>10011.43956521739</v>
      </c>
      <c r="AD39" s="10" t="n">
        <v>7381.434391434783</v>
      </c>
      <c r="AE39" s="10">
        <f>IF(OR(AD39="",H39=""),"",H39*AD39)</f>
        <v/>
      </c>
    </row>
    <row r="40">
      <c r="A40" s="13" t="inlineStr">
        <is>
          <t>2022-12-31</t>
        </is>
      </c>
      <c r="B40" s="13" t="n">
        <v>2189</v>
      </c>
      <c r="C40" s="14" t="inlineStr">
        <is>
          <t>VietMotion MA-03</t>
        </is>
      </c>
      <c r="D40" s="14" t="inlineStr">
        <is>
          <t>Casual</t>
        </is>
      </c>
      <c r="E40" s="13" t="inlineStr">
        <is>
          <t>All-weather</t>
        </is>
      </c>
      <c r="F40" s="13" t="inlineStr">
        <is>
          <t>M</t>
        </is>
      </c>
      <c r="G40" s="13" t="inlineStr">
        <is>
          <t>yellow</t>
        </is>
      </c>
      <c r="H40" s="15" t="n">
        <v>85</v>
      </c>
      <c r="I40" s="15" t="n">
        <v>7</v>
      </c>
      <c r="J40" s="16" t="n">
        <v>6.666666666666667</v>
      </c>
      <c r="K40" s="16">
        <f>IFERROR(J40/30,0)</f>
        <v/>
      </c>
      <c r="L40" s="15" t="n">
        <v>0</v>
      </c>
      <c r="M40" s="17" t="n">
        <v>1</v>
      </c>
      <c r="N40" s="15" t="n">
        <v>0</v>
      </c>
      <c r="O40" s="15" t="n">
        <v>1</v>
      </c>
      <c r="P40" s="15" t="n">
        <v>0</v>
      </c>
      <c r="Q40" s="12" t="n">
        <v>0</v>
      </c>
      <c r="R40" s="12" t="n">
        <v>0</v>
      </c>
      <c r="S40" s="15">
        <f>H40+Q40-R40</f>
        <v/>
      </c>
      <c r="T40" s="12" t="n">
        <v>14</v>
      </c>
      <c r="U40" s="12" t="n">
        <v>7</v>
      </c>
      <c r="V40" s="12" t="n">
        <v>7</v>
      </c>
      <c r="W40" s="16">
        <f>K40*(T40+U40)</f>
        <v/>
      </c>
      <c r="X40" s="16">
        <f>K40*(T40+U40+V40)</f>
        <v/>
      </c>
      <c r="Y40" s="16">
        <f>IF(K40&gt;0,H40/K40,99999)</f>
        <v/>
      </c>
      <c r="Z40" s="14">
        <f>IF(AND(OR(L40&gt;=1,M40&lt;0.95),Y40&gt;120),"DATA CONFLICT - VERIFY",IF(OR(L40&gt;=1,M40&lt;0.95,Y40&lt;=14),"SERVICE / STOCKOUT REVIEW",IF(Y40&gt;120,"OVERSTOCK REVIEW",IF(S40&lt;=W40,"REPLENISHMENT REVIEW","NORMAL MONITORING"))))</f>
        <v/>
      </c>
      <c r="AA40" s="15">
        <f>IF(OR(Z40="DATA CONFLICT - VERIFY",Z40="SERVICE / STOCKOUT REVIEW"),0,IF(S40&lt;=W40,MAX(0,ROUNDUP(X40-S40,0)),0))</f>
        <v/>
      </c>
      <c r="AB40" s="14">
        <f>IF(Z40="DATA CONFLICT - VERIFY","P1 - DATA CONFLICT",IF(Z40="SERVICE / STOCKOUT REVIEW","P1 - SERVICE",IF(Z40="OVERSTOCK REVIEW","P2 - OVERSTOCK",IF(Z40="REPLENISHMENT REVIEW","P2 - REPLENISH","P3 - MONITOR"))))</f>
        <v/>
      </c>
      <c r="AC40" s="16" t="n">
        <v>3943.046992084433</v>
      </c>
      <c r="AD40" s="16" t="n">
        <v>2853.583108171504</v>
      </c>
      <c r="AE40" s="16">
        <f>IF(OR(AD40="",H40=""),"",H40*AD40)</f>
        <v/>
      </c>
    </row>
    <row r="41">
      <c r="A41" s="7" t="inlineStr">
        <is>
          <t>2022-12-31</t>
        </is>
      </c>
      <c r="B41" s="7" t="n">
        <v>2193</v>
      </c>
      <c r="C41" s="8" t="inlineStr">
        <is>
          <t>VietMotion MA-07</t>
        </is>
      </c>
      <c r="D41" s="8" t="inlineStr">
        <is>
          <t>Casual</t>
        </is>
      </c>
      <c r="E41" s="7" t="inlineStr">
        <is>
          <t>All-weather</t>
        </is>
      </c>
      <c r="F41" s="7" t="inlineStr">
        <is>
          <t>M</t>
        </is>
      </c>
      <c r="G41" s="7" t="inlineStr">
        <is>
          <t>blue</t>
        </is>
      </c>
      <c r="H41" s="9" t="n">
        <v>43</v>
      </c>
      <c r="I41" s="9" t="n">
        <v>4</v>
      </c>
      <c r="J41" s="10" t="n">
        <v>6</v>
      </c>
      <c r="K41" s="10">
        <f>IFERROR(J41/30,0)</f>
        <v/>
      </c>
      <c r="L41" s="9" t="n">
        <v>0</v>
      </c>
      <c r="M41" s="11" t="n">
        <v>1</v>
      </c>
      <c r="N41" s="9" t="n">
        <v>0</v>
      </c>
      <c r="O41" s="9" t="n">
        <v>1</v>
      </c>
      <c r="P41" s="9" t="n">
        <v>0</v>
      </c>
      <c r="Q41" s="12" t="n">
        <v>0</v>
      </c>
      <c r="R41" s="12" t="n">
        <v>0</v>
      </c>
      <c r="S41" s="9">
        <f>H41+Q41-R41</f>
        <v/>
      </c>
      <c r="T41" s="12" t="n">
        <v>14</v>
      </c>
      <c r="U41" s="12" t="n">
        <v>7</v>
      </c>
      <c r="V41" s="12" t="n">
        <v>7</v>
      </c>
      <c r="W41" s="10">
        <f>K41*(T41+U41)</f>
        <v/>
      </c>
      <c r="X41" s="10">
        <f>K41*(T41+U41+V41)</f>
        <v/>
      </c>
      <c r="Y41" s="10">
        <f>IF(K41&gt;0,H41/K41,99999)</f>
        <v/>
      </c>
      <c r="Z41" s="8">
        <f>IF(AND(OR(L41&gt;=1,M41&lt;0.95),Y41&gt;120),"DATA CONFLICT - VERIFY",IF(OR(L41&gt;=1,M41&lt;0.95,Y41&lt;=14),"SERVICE / STOCKOUT REVIEW",IF(Y41&gt;120,"OVERSTOCK REVIEW",IF(S41&lt;=W41,"REPLENISHMENT REVIEW","NORMAL MONITORING"))))</f>
        <v/>
      </c>
      <c r="AA41" s="9">
        <f>IF(OR(Z41="DATA CONFLICT - VERIFY",Z41="SERVICE / STOCKOUT REVIEW"),0,IF(S41&lt;=W41,MAX(0,ROUNDUP(X41-S41,0)),0))</f>
        <v/>
      </c>
      <c r="AB41" s="8">
        <f>IF(Z41="DATA CONFLICT - VERIFY","P1 - DATA CONFLICT",IF(Z41="SERVICE / STOCKOUT REVIEW","P1 - SERVICE",IF(Z41="OVERSTOCK REVIEW","P2 - OVERSTOCK",IF(Z41="REPLENISHMENT REVIEW","P2 - REPLENISH","P3 - MONITOR"))))</f>
        <v/>
      </c>
      <c r="AC41" s="10" t="n">
        <v>9177.035294117648</v>
      </c>
      <c r="AD41" s="10" t="n">
        <v>5596.156122352942</v>
      </c>
      <c r="AE41" s="10">
        <f>IF(OR(AD41="",H41=""),"",H41*AD41)</f>
        <v/>
      </c>
    </row>
    <row r="42">
      <c r="A42" s="13" t="inlineStr">
        <is>
          <t>2022-12-31</t>
        </is>
      </c>
      <c r="B42" s="13" t="n">
        <v>2197</v>
      </c>
      <c r="C42" s="14" t="inlineStr">
        <is>
          <t>VietMotion MA-11</t>
        </is>
      </c>
      <c r="D42" s="14" t="inlineStr">
        <is>
          <t>Casual</t>
        </is>
      </c>
      <c r="E42" s="13" t="inlineStr">
        <is>
          <t>All-weather</t>
        </is>
      </c>
      <c r="F42" s="13" t="inlineStr">
        <is>
          <t>M</t>
        </is>
      </c>
      <c r="G42" s="13" t="inlineStr">
        <is>
          <t>silver</t>
        </is>
      </c>
      <c r="H42" s="15" t="n">
        <v>113</v>
      </c>
      <c r="I42" s="15" t="n">
        <v>9</v>
      </c>
      <c r="J42" s="16" t="n">
        <v>7.666666666666667</v>
      </c>
      <c r="K42" s="16">
        <f>IFERROR(J42/30,0)</f>
        <v/>
      </c>
      <c r="L42" s="15" t="n">
        <v>0</v>
      </c>
      <c r="M42" s="17" t="n">
        <v>1</v>
      </c>
      <c r="N42" s="15" t="n">
        <v>0</v>
      </c>
      <c r="O42" s="15" t="n">
        <v>1</v>
      </c>
      <c r="P42" s="15" t="n">
        <v>0</v>
      </c>
      <c r="Q42" s="12" t="n">
        <v>0</v>
      </c>
      <c r="R42" s="12" t="n">
        <v>0</v>
      </c>
      <c r="S42" s="15">
        <f>H42+Q42-R42</f>
        <v/>
      </c>
      <c r="T42" s="12" t="n">
        <v>14</v>
      </c>
      <c r="U42" s="12" t="n">
        <v>7</v>
      </c>
      <c r="V42" s="12" t="n">
        <v>7</v>
      </c>
      <c r="W42" s="16">
        <f>K42*(T42+U42)</f>
        <v/>
      </c>
      <c r="X42" s="16">
        <f>K42*(T42+U42+V42)</f>
        <v/>
      </c>
      <c r="Y42" s="16">
        <f>IF(K42&gt;0,H42/K42,99999)</f>
        <v/>
      </c>
      <c r="Z42" s="14">
        <f>IF(AND(OR(L42&gt;=1,M42&lt;0.95),Y42&gt;120),"DATA CONFLICT - VERIFY",IF(OR(L42&gt;=1,M42&lt;0.95,Y42&lt;=14),"SERVICE / STOCKOUT REVIEW",IF(Y42&gt;120,"OVERSTOCK REVIEW",IF(S42&lt;=W42,"REPLENISHMENT REVIEW","NORMAL MONITORING"))))</f>
        <v/>
      </c>
      <c r="AA42" s="15">
        <f>IF(OR(Z42="DATA CONFLICT - VERIFY",Z42="SERVICE / STOCKOUT REVIEW"),0,IF(S42&lt;=W42,MAX(0,ROUNDUP(X42-S42,0)),0))</f>
        <v/>
      </c>
      <c r="AB42" s="14">
        <f>IF(Z42="DATA CONFLICT - VERIFY","P1 - DATA CONFLICT",IF(Z42="SERVICE / STOCKOUT REVIEW","P1 - SERVICE",IF(Z42="OVERSTOCK REVIEW","P2 - OVERSTOCK",IF(Z42="REPLENISHMENT REVIEW","P2 - REPLENISH","P3 - MONITOR"))))</f>
        <v/>
      </c>
      <c r="AC42" s="16" t="n">
        <v>2982.692976846747</v>
      </c>
      <c r="AD42" s="16" t="n">
        <v>2833.55832800441</v>
      </c>
      <c r="AE42" s="16">
        <f>IF(OR(AD42="",H42=""),"",H42*AD42)</f>
        <v/>
      </c>
    </row>
    <row r="43">
      <c r="A43" s="7" t="inlineStr">
        <is>
          <t>2022-12-31</t>
        </is>
      </c>
      <c r="B43" s="7" t="n">
        <v>2199</v>
      </c>
      <c r="C43" s="8" t="inlineStr">
        <is>
          <t>VietMotion MA-13</t>
        </is>
      </c>
      <c r="D43" s="8" t="inlineStr">
        <is>
          <t>Casual</t>
        </is>
      </c>
      <c r="E43" s="7" t="inlineStr">
        <is>
          <t>All-weather</t>
        </is>
      </c>
      <c r="F43" s="7" t="inlineStr">
        <is>
          <t>XL</t>
        </is>
      </c>
      <c r="G43" s="7" t="inlineStr">
        <is>
          <t>yellow</t>
        </is>
      </c>
      <c r="H43" s="9" t="n">
        <v>258</v>
      </c>
      <c r="I43" s="9" t="n">
        <v>6</v>
      </c>
      <c r="J43" s="10" t="n">
        <v>4.666666666666667</v>
      </c>
      <c r="K43" s="10">
        <f>IFERROR(J43/30,0)</f>
        <v/>
      </c>
      <c r="L43" s="9" t="n">
        <v>1</v>
      </c>
      <c r="M43" s="11" t="n">
        <v>0.9667</v>
      </c>
      <c r="N43" s="9" t="n">
        <v>1</v>
      </c>
      <c r="O43" s="9" t="n">
        <v>1</v>
      </c>
      <c r="P43" s="9" t="n">
        <v>0</v>
      </c>
      <c r="Q43" s="12" t="n">
        <v>0</v>
      </c>
      <c r="R43" s="12" t="n">
        <v>0</v>
      </c>
      <c r="S43" s="9">
        <f>H43+Q43-R43</f>
        <v/>
      </c>
      <c r="T43" s="12" t="n">
        <v>14</v>
      </c>
      <c r="U43" s="12" t="n">
        <v>7</v>
      </c>
      <c r="V43" s="12" t="n">
        <v>7</v>
      </c>
      <c r="W43" s="10">
        <f>K43*(T43+U43)</f>
        <v/>
      </c>
      <c r="X43" s="10">
        <f>K43*(T43+U43+V43)</f>
        <v/>
      </c>
      <c r="Y43" s="10">
        <f>IF(K43&gt;0,H43/K43,99999)</f>
        <v/>
      </c>
      <c r="Z43" s="8">
        <f>IF(AND(OR(L43&gt;=1,M43&lt;0.95),Y43&gt;120),"DATA CONFLICT - VERIFY",IF(OR(L43&gt;=1,M43&lt;0.95,Y43&lt;=14),"SERVICE / STOCKOUT REVIEW",IF(Y43&gt;120,"OVERSTOCK REVIEW",IF(S43&lt;=W43,"REPLENISHMENT REVIEW","NORMAL MONITORING"))))</f>
        <v/>
      </c>
      <c r="AA43" s="9">
        <f>IF(OR(Z43="DATA CONFLICT - VERIFY",Z43="SERVICE / STOCKOUT REVIEW"),0,IF(S43&lt;=W43,MAX(0,ROUNDUP(X43-S43,0)),0))</f>
        <v/>
      </c>
      <c r="AB43" s="8">
        <f>IF(Z43="DATA CONFLICT - VERIFY","P1 - DATA CONFLICT",IF(Z43="SERVICE / STOCKOUT REVIEW","P1 - SERVICE",IF(Z43="OVERSTOCK REVIEW","P2 - OVERSTOCK",IF(Z43="REPLENISHMENT REVIEW","P2 - REPLENISH","P3 - MONITOR"))))</f>
        <v/>
      </c>
      <c r="AC43" s="10" t="n">
        <v>2387.299419873636</v>
      </c>
      <c r="AD43" s="10" t="n">
        <v>2267.934448879954</v>
      </c>
      <c r="AE43" s="10">
        <f>IF(OR(AD43="",H43=""),"",H43*AD43)</f>
        <v/>
      </c>
    </row>
    <row r="44">
      <c r="A44" s="13" t="inlineStr">
        <is>
          <t>2022-12-31</t>
        </is>
      </c>
      <c r="B44" s="13" t="n">
        <v>2202</v>
      </c>
      <c r="C44" s="14" t="inlineStr">
        <is>
          <t>VietMotion MA-16</t>
        </is>
      </c>
      <c r="D44" s="14" t="inlineStr">
        <is>
          <t>Casual</t>
        </is>
      </c>
      <c r="E44" s="13" t="inlineStr">
        <is>
          <t>All-weather</t>
        </is>
      </c>
      <c r="F44" s="13" t="inlineStr">
        <is>
          <t>L</t>
        </is>
      </c>
      <c r="G44" s="13" t="inlineStr">
        <is>
          <t>orange</t>
        </is>
      </c>
      <c r="H44" s="15" t="n">
        <v>39</v>
      </c>
      <c r="I44" s="15" t="n">
        <v>1</v>
      </c>
      <c r="J44" s="16" t="n">
        <v>1.666666666666667</v>
      </c>
      <c r="K44" s="16">
        <f>IFERROR(J44/30,0)</f>
        <v/>
      </c>
      <c r="L44" s="15" t="n">
        <v>1</v>
      </c>
      <c r="M44" s="17" t="n">
        <v>0.9667</v>
      </c>
      <c r="N44" s="15" t="n">
        <v>1</v>
      </c>
      <c r="O44" s="15" t="n">
        <v>1</v>
      </c>
      <c r="P44" s="15" t="n">
        <v>0</v>
      </c>
      <c r="Q44" s="12" t="n">
        <v>0</v>
      </c>
      <c r="R44" s="12" t="n">
        <v>0</v>
      </c>
      <c r="S44" s="15">
        <f>H44+Q44-R44</f>
        <v/>
      </c>
      <c r="T44" s="12" t="n">
        <v>14</v>
      </c>
      <c r="U44" s="12" t="n">
        <v>7</v>
      </c>
      <c r="V44" s="12" t="n">
        <v>7</v>
      </c>
      <c r="W44" s="16">
        <f>K44*(T44+U44)</f>
        <v/>
      </c>
      <c r="X44" s="16">
        <f>K44*(T44+U44+V44)</f>
        <v/>
      </c>
      <c r="Y44" s="16">
        <f>IF(K44&gt;0,H44/K44,99999)</f>
        <v/>
      </c>
      <c r="Z44" s="14">
        <f>IF(AND(OR(L44&gt;=1,M44&lt;0.95),Y44&gt;120),"DATA CONFLICT - VERIFY",IF(OR(L44&gt;=1,M44&lt;0.95,Y44&lt;=14),"SERVICE / STOCKOUT REVIEW",IF(Y44&gt;120,"OVERSTOCK REVIEW",IF(S44&lt;=W44,"REPLENISHMENT REVIEW","NORMAL MONITORING"))))</f>
        <v/>
      </c>
      <c r="AA44" s="15">
        <f>IF(OR(Z44="DATA CONFLICT - VERIFY",Z44="SERVICE / STOCKOUT REVIEW"),0,IF(S44&lt;=W44,MAX(0,ROUNDUP(X44-S44,0)),0))</f>
        <v/>
      </c>
      <c r="AB44" s="14">
        <f>IF(Z44="DATA CONFLICT - VERIFY","P1 - DATA CONFLICT",IF(Z44="SERVICE / STOCKOUT REVIEW","P1 - SERVICE",IF(Z44="OVERSTOCK REVIEW","P2 - OVERSTOCK",IF(Z44="REPLENISHMENT REVIEW","P2 - REPLENISH","P3 - MONITOR"))))</f>
        <v/>
      </c>
      <c r="AC44" s="16" t="n">
        <v>3857.993548387097</v>
      </c>
      <c r="AD44" s="16" t="n">
        <v>3393.105325806452</v>
      </c>
      <c r="AE44" s="16">
        <f>IF(OR(AD44="",H44=""),"",H44*AD44)</f>
        <v/>
      </c>
    </row>
    <row r="45">
      <c r="A45" s="7" t="inlineStr">
        <is>
          <t>2022-12-31</t>
        </is>
      </c>
      <c r="B45" s="7" t="n">
        <v>197</v>
      </c>
      <c r="C45" s="8" t="inlineStr">
        <is>
          <t>DragonWear YY-01</t>
        </is>
      </c>
      <c r="D45" s="8" t="inlineStr">
        <is>
          <t>GenZ</t>
        </is>
      </c>
      <c r="E45" s="7" t="inlineStr">
        <is>
          <t>Trendy</t>
        </is>
      </c>
      <c r="F45" s="7" t="inlineStr">
        <is>
          <t>M</t>
        </is>
      </c>
      <c r="G45" s="7" t="inlineStr">
        <is>
          <t>silver</t>
        </is>
      </c>
      <c r="H45" s="9" t="n">
        <v>9</v>
      </c>
      <c r="I45" s="9" t="n">
        <v>1</v>
      </c>
      <c r="J45" s="10" t="n">
        <v>2</v>
      </c>
      <c r="K45" s="10">
        <f>IFERROR(J45/30,0)</f>
        <v/>
      </c>
      <c r="L45" s="9" t="n">
        <v>0</v>
      </c>
      <c r="M45" s="11" t="n">
        <v>1</v>
      </c>
      <c r="N45" s="9" t="n">
        <v>0</v>
      </c>
      <c r="O45" s="9" t="n">
        <v>1</v>
      </c>
      <c r="P45" s="9" t="n">
        <v>0</v>
      </c>
      <c r="Q45" s="12" t="n">
        <v>0</v>
      </c>
      <c r="R45" s="12" t="n">
        <v>0</v>
      </c>
      <c r="S45" s="9">
        <f>H45+Q45-R45</f>
        <v/>
      </c>
      <c r="T45" s="12" t="n">
        <v>14</v>
      </c>
      <c r="U45" s="12" t="n">
        <v>7</v>
      </c>
      <c r="V45" s="12" t="n">
        <v>7</v>
      </c>
      <c r="W45" s="10">
        <f>K45*(T45+U45)</f>
        <v/>
      </c>
      <c r="X45" s="10">
        <f>K45*(T45+U45+V45)</f>
        <v/>
      </c>
      <c r="Y45" s="10">
        <f>IF(K45&gt;0,H45/K45,99999)</f>
        <v/>
      </c>
      <c r="Z45" s="8">
        <f>IF(AND(OR(L45&gt;=1,M45&lt;0.95),Y45&gt;120),"DATA CONFLICT - VERIFY",IF(OR(L45&gt;=1,M45&lt;0.95,Y45&lt;=14),"SERVICE / STOCKOUT REVIEW",IF(Y45&gt;120,"OVERSTOCK REVIEW",IF(S45&lt;=W45,"REPLENISHMENT REVIEW","NORMAL MONITORING"))))</f>
        <v/>
      </c>
      <c r="AA45" s="9">
        <f>IF(OR(Z45="DATA CONFLICT - VERIFY",Z45="SERVICE / STOCKOUT REVIEW"),0,IF(S45&lt;=W45,MAX(0,ROUNDUP(X45-S45,0)),0))</f>
        <v/>
      </c>
      <c r="AB45" s="8">
        <f>IF(Z45="DATA CONFLICT - VERIFY","P1 - DATA CONFLICT",IF(Z45="SERVICE / STOCKOUT REVIEW","P1 - SERVICE",IF(Z45="OVERSTOCK REVIEW","P2 - OVERSTOCK",IF(Z45="REPLENISHMENT REVIEW","P2 - REPLENISH","P3 - MONITOR"))))</f>
        <v/>
      </c>
      <c r="AC45" s="10" t="n">
        <v>6041.7</v>
      </c>
      <c r="AD45" s="10" t="n">
        <v>5739.615</v>
      </c>
      <c r="AE45" s="10">
        <f>IF(OR(AD45="",H45=""),"",H45*AD45)</f>
        <v/>
      </c>
    </row>
    <row r="46">
      <c r="A46" s="13" t="inlineStr">
        <is>
          <t>2022-12-31</t>
        </is>
      </c>
      <c r="B46" s="13" t="n">
        <v>198</v>
      </c>
      <c r="C46" s="14" t="inlineStr">
        <is>
          <t>DragonWear YY-02</t>
        </is>
      </c>
      <c r="D46" s="14" t="inlineStr">
        <is>
          <t>GenZ</t>
        </is>
      </c>
      <c r="E46" s="13" t="inlineStr">
        <is>
          <t>Trendy</t>
        </is>
      </c>
      <c r="F46" s="13" t="inlineStr">
        <is>
          <t>L</t>
        </is>
      </c>
      <c r="G46" s="13" t="inlineStr">
        <is>
          <t>pink</t>
        </is>
      </c>
      <c r="H46" s="15" t="n">
        <v>16</v>
      </c>
      <c r="I46" s="15" t="n">
        <v>6</v>
      </c>
      <c r="J46" s="16" t="n">
        <v>7.666666666666667</v>
      </c>
      <c r="K46" s="16">
        <f>IFERROR(J46/30,0)</f>
        <v/>
      </c>
      <c r="L46" s="15" t="n">
        <v>1</v>
      </c>
      <c r="M46" s="17" t="n">
        <v>0.9667</v>
      </c>
      <c r="N46" s="15" t="n">
        <v>1</v>
      </c>
      <c r="O46" s="15" t="n">
        <v>0</v>
      </c>
      <c r="P46" s="15" t="n">
        <v>0</v>
      </c>
      <c r="Q46" s="12" t="n">
        <v>0</v>
      </c>
      <c r="R46" s="12" t="n">
        <v>0</v>
      </c>
      <c r="S46" s="15">
        <f>H46+Q46-R46</f>
        <v/>
      </c>
      <c r="T46" s="12" t="n">
        <v>14</v>
      </c>
      <c r="U46" s="12" t="n">
        <v>7</v>
      </c>
      <c r="V46" s="12" t="n">
        <v>7</v>
      </c>
      <c r="W46" s="16">
        <f>K46*(T46+U46)</f>
        <v/>
      </c>
      <c r="X46" s="16">
        <f>K46*(T46+U46+V46)</f>
        <v/>
      </c>
      <c r="Y46" s="16">
        <f>IF(K46&gt;0,H46/K46,99999)</f>
        <v/>
      </c>
      <c r="Z46" s="14">
        <f>IF(AND(OR(L46&gt;=1,M46&lt;0.95),Y46&gt;120),"DATA CONFLICT - VERIFY",IF(OR(L46&gt;=1,M46&lt;0.95,Y46&lt;=14),"SERVICE / STOCKOUT REVIEW",IF(Y46&gt;120,"OVERSTOCK REVIEW",IF(S46&lt;=W46,"REPLENISHMENT REVIEW","NORMAL MONITORING"))))</f>
        <v/>
      </c>
      <c r="AA46" s="15">
        <f>IF(OR(Z46="DATA CONFLICT - VERIFY",Z46="SERVICE / STOCKOUT REVIEW"),0,IF(S46&lt;=W46,MAX(0,ROUNDUP(X46-S46,0)),0))</f>
        <v/>
      </c>
      <c r="AB46" s="14">
        <f>IF(Z46="DATA CONFLICT - VERIFY","P1 - DATA CONFLICT",IF(Z46="SERVICE / STOCKOUT REVIEW","P1 - SERVICE",IF(Z46="OVERSTOCK REVIEW","P2 - OVERSTOCK",IF(Z46="REPLENISHMENT REVIEW","P2 - REPLENISH","P3 - MONITOR"))))</f>
        <v/>
      </c>
      <c r="AC46" s="16" t="n">
        <v>6293.7</v>
      </c>
      <c r="AD46" s="16" t="n">
        <v>3768.03819</v>
      </c>
      <c r="AE46" s="16">
        <f>IF(OR(AD46="",H46=""),"",H46*AD46)</f>
        <v/>
      </c>
    </row>
    <row r="47">
      <c r="A47" s="7" t="inlineStr">
        <is>
          <t>2022-12-31</t>
        </is>
      </c>
      <c r="B47" s="7" t="n">
        <v>1007</v>
      </c>
      <c r="C47" s="8" t="inlineStr">
        <is>
          <t>HanoiStreet YY-08</t>
        </is>
      </c>
      <c r="D47" s="8" t="inlineStr">
        <is>
          <t>GenZ</t>
        </is>
      </c>
      <c r="E47" s="7" t="inlineStr">
        <is>
          <t>Trendy</t>
        </is>
      </c>
      <c r="F47" s="7" t="inlineStr">
        <is>
          <t>XL</t>
        </is>
      </c>
      <c r="G47" s="7" t="inlineStr">
        <is>
          <t>silver</t>
        </is>
      </c>
      <c r="H47" s="9" t="n">
        <v>16</v>
      </c>
      <c r="I47" s="9" t="n">
        <v>1</v>
      </c>
      <c r="J47" s="10" t="n">
        <v>3</v>
      </c>
      <c r="K47" s="10">
        <f>IFERROR(J47/30,0)</f>
        <v/>
      </c>
      <c r="L47" s="9" t="n">
        <v>0</v>
      </c>
      <c r="M47" s="11" t="n">
        <v>1</v>
      </c>
      <c r="N47" s="9" t="n">
        <v>0</v>
      </c>
      <c r="O47" s="9" t="n">
        <v>1</v>
      </c>
      <c r="P47" s="9" t="n">
        <v>0</v>
      </c>
      <c r="Q47" s="12" t="n">
        <v>0</v>
      </c>
      <c r="R47" s="12" t="n">
        <v>0</v>
      </c>
      <c r="S47" s="9">
        <f>H47+Q47-R47</f>
        <v/>
      </c>
      <c r="T47" s="12" t="n">
        <v>14</v>
      </c>
      <c r="U47" s="12" t="n">
        <v>7</v>
      </c>
      <c r="V47" s="12" t="n">
        <v>7</v>
      </c>
      <c r="W47" s="10">
        <f>K47*(T47+U47)</f>
        <v/>
      </c>
      <c r="X47" s="10">
        <f>K47*(T47+U47+V47)</f>
        <v/>
      </c>
      <c r="Y47" s="10">
        <f>IF(K47&gt;0,H47/K47,99999)</f>
        <v/>
      </c>
      <c r="Z47" s="8">
        <f>IF(AND(OR(L47&gt;=1,M47&lt;0.95),Y47&gt;120),"DATA CONFLICT - VERIFY",IF(OR(L47&gt;=1,M47&lt;0.95,Y47&lt;=14),"SERVICE / STOCKOUT REVIEW",IF(Y47&gt;120,"OVERSTOCK REVIEW",IF(S47&lt;=W47,"REPLENISHMENT REVIEW","NORMAL MONITORING"))))</f>
        <v/>
      </c>
      <c r="AA47" s="9">
        <f>IF(OR(Z47="DATA CONFLICT - VERIFY",Z47="SERVICE / STOCKOUT REVIEW"),0,IF(S47&lt;=W47,MAX(0,ROUNDUP(X47-S47,0)),0))</f>
        <v/>
      </c>
      <c r="AB47" s="8">
        <f>IF(Z47="DATA CONFLICT - VERIFY","P1 - DATA CONFLICT",IF(Z47="SERVICE / STOCKOUT REVIEW","P1 - SERVICE",IF(Z47="OVERSTOCK REVIEW","P2 - OVERSTOCK",IF(Z47="REPLENISHMENT REVIEW","P2 - REPLENISH","P3 - MONITOR"))))</f>
        <v/>
      </c>
      <c r="AC47" s="10" t="n">
        <v>5436.61213483146</v>
      </c>
      <c r="AD47" s="10" t="n">
        <v>5164.781528089887</v>
      </c>
      <c r="AE47" s="10">
        <f>IF(OR(AD47="",H47=""),"",H47*AD47)</f>
        <v/>
      </c>
    </row>
    <row r="48">
      <c r="A48" s="13" t="inlineStr">
        <is>
          <t>2022-12-31</t>
        </is>
      </c>
      <c r="B48" s="13" t="n">
        <v>1009</v>
      </c>
      <c r="C48" s="14" t="inlineStr">
        <is>
          <t>HanoiStreet YY-10</t>
        </is>
      </c>
      <c r="D48" s="14" t="inlineStr">
        <is>
          <t>GenZ</t>
        </is>
      </c>
      <c r="E48" s="13" t="inlineStr">
        <is>
          <t>Trendy</t>
        </is>
      </c>
      <c r="F48" s="13" t="inlineStr">
        <is>
          <t>M</t>
        </is>
      </c>
      <c r="G48" s="13" t="inlineStr">
        <is>
          <t>yellow</t>
        </is>
      </c>
      <c r="H48" s="15" t="n">
        <v>865</v>
      </c>
      <c r="I48" s="15" t="n">
        <v>15</v>
      </c>
      <c r="J48" s="16" t="n">
        <v>17.33333333333333</v>
      </c>
      <c r="K48" s="16">
        <f>IFERROR(J48/30,0)</f>
        <v/>
      </c>
      <c r="L48" s="15" t="n">
        <v>2</v>
      </c>
      <c r="M48" s="17" t="n">
        <v>0.9333</v>
      </c>
      <c r="N48" s="15" t="n">
        <v>1</v>
      </c>
      <c r="O48" s="15" t="n">
        <v>1</v>
      </c>
      <c r="P48" s="15" t="n">
        <v>0</v>
      </c>
      <c r="Q48" s="12" t="n">
        <v>0</v>
      </c>
      <c r="R48" s="12" t="n">
        <v>0</v>
      </c>
      <c r="S48" s="15">
        <f>H48+Q48-R48</f>
        <v/>
      </c>
      <c r="T48" s="12" t="n">
        <v>14</v>
      </c>
      <c r="U48" s="12" t="n">
        <v>7</v>
      </c>
      <c r="V48" s="12" t="n">
        <v>7</v>
      </c>
      <c r="W48" s="16">
        <f>K48*(T48+U48)</f>
        <v/>
      </c>
      <c r="X48" s="16">
        <f>K48*(T48+U48+V48)</f>
        <v/>
      </c>
      <c r="Y48" s="16">
        <f>IF(K48&gt;0,H48/K48,99999)</f>
        <v/>
      </c>
      <c r="Z48" s="14">
        <f>IF(AND(OR(L48&gt;=1,M48&lt;0.95),Y48&gt;120),"DATA CONFLICT - VERIFY",IF(OR(L48&gt;=1,M48&lt;0.95,Y48&lt;=14),"SERVICE / STOCKOUT REVIEW",IF(Y48&gt;120,"OVERSTOCK REVIEW",IF(S48&lt;=W48,"REPLENISHMENT REVIEW","NORMAL MONITORING"))))</f>
        <v/>
      </c>
      <c r="AA48" s="15">
        <f>IF(OR(Z48="DATA CONFLICT - VERIFY",Z48="SERVICE / STOCKOUT REVIEW"),0,IF(S48&lt;=W48,MAX(0,ROUNDUP(X48-S48,0)),0))</f>
        <v/>
      </c>
      <c r="AB48" s="14">
        <f>IF(Z48="DATA CONFLICT - VERIFY","P1 - DATA CONFLICT",IF(Z48="SERVICE / STOCKOUT REVIEW","P1 - SERVICE",IF(Z48="OVERSTOCK REVIEW","P2 - OVERSTOCK",IF(Z48="REPLENISHMENT REVIEW","P2 - REPLENISH","P3 - MONITOR"))))</f>
        <v/>
      </c>
      <c r="AC48" s="16" t="n">
        <v>1383.875492256637</v>
      </c>
      <c r="AD48" s="16" t="n">
        <v>862.569594323562</v>
      </c>
      <c r="AE48" s="16">
        <f>IF(OR(AD48="",H48=""),"",H48*AD48)</f>
        <v/>
      </c>
    </row>
    <row r="49">
      <c r="A49" s="7" t="inlineStr">
        <is>
          <t>2022-12-31</t>
        </is>
      </c>
      <c r="B49" s="7" t="n">
        <v>1012</v>
      </c>
      <c r="C49" s="8" t="inlineStr">
        <is>
          <t>HanoiStreet YY-13</t>
        </is>
      </c>
      <c r="D49" s="8" t="inlineStr">
        <is>
          <t>GenZ</t>
        </is>
      </c>
      <c r="E49" s="7" t="inlineStr">
        <is>
          <t>Trendy</t>
        </is>
      </c>
      <c r="F49" s="7" t="inlineStr">
        <is>
          <t>S</t>
        </is>
      </c>
      <c r="G49" s="7" t="inlineStr">
        <is>
          <t>orange</t>
        </is>
      </c>
      <c r="H49" s="9" t="n">
        <v>51</v>
      </c>
      <c r="I49" s="9" t="n">
        <v>1</v>
      </c>
      <c r="J49" s="10" t="n">
        <v>4.333333333333333</v>
      </c>
      <c r="K49" s="10">
        <f>IFERROR(J49/30,0)</f>
        <v/>
      </c>
      <c r="L49" s="9" t="n">
        <v>1</v>
      </c>
      <c r="M49" s="11" t="n">
        <v>0.9667</v>
      </c>
      <c r="N49" s="9" t="n">
        <v>1</v>
      </c>
      <c r="O49" s="9" t="n">
        <v>1</v>
      </c>
      <c r="P49" s="9" t="n">
        <v>0</v>
      </c>
      <c r="Q49" s="12" t="n">
        <v>0</v>
      </c>
      <c r="R49" s="12" t="n">
        <v>0</v>
      </c>
      <c r="S49" s="9">
        <f>H49+Q49-R49</f>
        <v/>
      </c>
      <c r="T49" s="12" t="n">
        <v>14</v>
      </c>
      <c r="U49" s="12" t="n">
        <v>7</v>
      </c>
      <c r="V49" s="12" t="n">
        <v>7</v>
      </c>
      <c r="W49" s="10">
        <f>K49*(T49+U49)</f>
        <v/>
      </c>
      <c r="X49" s="10">
        <f>K49*(T49+U49+V49)</f>
        <v/>
      </c>
      <c r="Y49" s="10">
        <f>IF(K49&gt;0,H49/K49,99999)</f>
        <v/>
      </c>
      <c r="Z49" s="8">
        <f>IF(AND(OR(L49&gt;=1,M49&lt;0.95),Y49&gt;120),"DATA CONFLICT - VERIFY",IF(OR(L49&gt;=1,M49&lt;0.95,Y49&lt;=14),"SERVICE / STOCKOUT REVIEW",IF(Y49&gt;120,"OVERSTOCK REVIEW",IF(S49&lt;=W49,"REPLENISHMENT REVIEW","NORMAL MONITORING"))))</f>
        <v/>
      </c>
      <c r="AA49" s="9">
        <f>IF(OR(Z49="DATA CONFLICT - VERIFY",Z49="SERVICE / STOCKOUT REVIEW"),0,IF(S49&lt;=W49,MAX(0,ROUNDUP(X49-S49,0)),0))</f>
        <v/>
      </c>
      <c r="AB49" s="8">
        <f>IF(Z49="DATA CONFLICT - VERIFY","P1 - DATA CONFLICT",IF(Z49="SERVICE / STOCKOUT REVIEW","P1 - SERVICE",IF(Z49="OVERSTOCK REVIEW","P2 - OVERSTOCK",IF(Z49="REPLENISHMENT REVIEW","P2 - REPLENISH","P3 - MONITOR"))))</f>
        <v/>
      </c>
      <c r="AC49" s="10" t="n">
        <v>2141.37</v>
      </c>
      <c r="AD49" s="10" t="n">
        <v>1752.283071</v>
      </c>
      <c r="AE49" s="10">
        <f>IF(OR(AD49="",H49=""),"",H49*AD49)</f>
        <v/>
      </c>
    </row>
    <row r="50">
      <c r="A50" s="13" t="inlineStr">
        <is>
          <t>2022-12-31</t>
        </is>
      </c>
      <c r="B50" s="13" t="n">
        <v>1013</v>
      </c>
      <c r="C50" s="14" t="inlineStr">
        <is>
          <t>HanoiStreet YY-14</t>
        </is>
      </c>
      <c r="D50" s="14" t="inlineStr">
        <is>
          <t>GenZ</t>
        </is>
      </c>
      <c r="E50" s="13" t="inlineStr">
        <is>
          <t>Trendy</t>
        </is>
      </c>
      <c r="F50" s="13" t="inlineStr">
        <is>
          <t>M</t>
        </is>
      </c>
      <c r="G50" s="13" t="inlineStr">
        <is>
          <t>blue</t>
        </is>
      </c>
      <c r="H50" s="15" t="n">
        <v>165</v>
      </c>
      <c r="I50" s="15" t="n">
        <v>21</v>
      </c>
      <c r="J50" s="16" t="n">
        <v>17.66666666666667</v>
      </c>
      <c r="K50" s="16">
        <f>IFERROR(J50/30,0)</f>
        <v/>
      </c>
      <c r="L50" s="15" t="n">
        <v>1</v>
      </c>
      <c r="M50" s="17" t="n">
        <v>0.9667</v>
      </c>
      <c r="N50" s="15" t="n">
        <v>1</v>
      </c>
      <c r="O50" s="15" t="n">
        <v>1</v>
      </c>
      <c r="P50" s="15" t="n">
        <v>0</v>
      </c>
      <c r="Q50" s="12" t="n">
        <v>0</v>
      </c>
      <c r="R50" s="12" t="n">
        <v>0</v>
      </c>
      <c r="S50" s="15">
        <f>H50+Q50-R50</f>
        <v/>
      </c>
      <c r="T50" s="12" t="n">
        <v>14</v>
      </c>
      <c r="U50" s="12" t="n">
        <v>7</v>
      </c>
      <c r="V50" s="12" t="n">
        <v>7</v>
      </c>
      <c r="W50" s="16">
        <f>K50*(T50+U50)</f>
        <v/>
      </c>
      <c r="X50" s="16">
        <f>K50*(T50+U50+V50)</f>
        <v/>
      </c>
      <c r="Y50" s="16">
        <f>IF(K50&gt;0,H50/K50,99999)</f>
        <v/>
      </c>
      <c r="Z50" s="14">
        <f>IF(AND(OR(L50&gt;=1,M50&lt;0.95),Y50&gt;120),"DATA CONFLICT - VERIFY",IF(OR(L50&gt;=1,M50&lt;0.95,Y50&lt;=14),"SERVICE / STOCKOUT REVIEW",IF(Y50&gt;120,"OVERSTOCK REVIEW",IF(S50&lt;=W50,"REPLENISHMENT REVIEW","NORMAL MONITORING"))))</f>
        <v/>
      </c>
      <c r="AA50" s="15">
        <f>IF(OR(Z50="DATA CONFLICT - VERIFY",Z50="SERVICE / STOCKOUT REVIEW"),0,IF(S50&lt;=W50,MAX(0,ROUNDUP(X50-S50,0)),0))</f>
        <v/>
      </c>
      <c r="AB50" s="14">
        <f>IF(Z50="DATA CONFLICT - VERIFY","P1 - DATA CONFLICT",IF(Z50="SERVICE / STOCKOUT REVIEW","P1 - SERVICE",IF(Z50="OVERSTOCK REVIEW","P2 - OVERSTOCK",IF(Z50="REPLENISHMENT REVIEW","P2 - REPLENISH","P3 - MONITOR"))))</f>
        <v/>
      </c>
      <c r="AC50" s="16" t="n">
        <v>1259.37</v>
      </c>
      <c r="AD50" s="16" t="n">
        <v>1196.4015</v>
      </c>
      <c r="AE50" s="16">
        <f>IF(OR(AD50="",H50=""),"",H50*AD50)</f>
        <v/>
      </c>
    </row>
    <row r="51">
      <c r="A51" s="7" t="inlineStr">
        <is>
          <t>2022-12-31</t>
        </is>
      </c>
      <c r="B51" s="7" t="n">
        <v>1026</v>
      </c>
      <c r="C51" s="8" t="inlineStr">
        <is>
          <t>HanoiStreet YY-27</t>
        </is>
      </c>
      <c r="D51" s="8" t="inlineStr">
        <is>
          <t>GenZ</t>
        </is>
      </c>
      <c r="E51" s="7" t="inlineStr">
        <is>
          <t>Trendy</t>
        </is>
      </c>
      <c r="F51" s="7" t="inlineStr">
        <is>
          <t>L</t>
        </is>
      </c>
      <c r="G51" s="7" t="inlineStr">
        <is>
          <t>green</t>
        </is>
      </c>
      <c r="H51" s="9" t="n">
        <v>135</v>
      </c>
      <c r="I51" s="9" t="n">
        <v>20</v>
      </c>
      <c r="J51" s="10" t="n">
        <v>24</v>
      </c>
      <c r="K51" s="10">
        <f>IFERROR(J51/30,0)</f>
        <v/>
      </c>
      <c r="L51" s="9" t="n">
        <v>0</v>
      </c>
      <c r="M51" s="11" t="n">
        <v>1</v>
      </c>
      <c r="N51" s="9" t="n">
        <v>0</v>
      </c>
      <c r="O51" s="9" t="n">
        <v>1</v>
      </c>
      <c r="P51" s="9" t="n">
        <v>0</v>
      </c>
      <c r="Q51" s="12" t="n">
        <v>0</v>
      </c>
      <c r="R51" s="12" t="n">
        <v>0</v>
      </c>
      <c r="S51" s="9">
        <f>H51+Q51-R51</f>
        <v/>
      </c>
      <c r="T51" s="12" t="n">
        <v>14</v>
      </c>
      <c r="U51" s="12" t="n">
        <v>7</v>
      </c>
      <c r="V51" s="12" t="n">
        <v>7</v>
      </c>
      <c r="W51" s="10">
        <f>K51*(T51+U51)</f>
        <v/>
      </c>
      <c r="X51" s="10">
        <f>K51*(T51+U51+V51)</f>
        <v/>
      </c>
      <c r="Y51" s="10">
        <f>IF(K51&gt;0,H51/K51,99999)</f>
        <v/>
      </c>
      <c r="Z51" s="8">
        <f>IF(AND(OR(L51&gt;=1,M51&lt;0.95),Y51&gt;120),"DATA CONFLICT - VERIFY",IF(OR(L51&gt;=1,M51&lt;0.95,Y51&lt;=14),"SERVICE / STOCKOUT REVIEW",IF(Y51&gt;120,"OVERSTOCK REVIEW",IF(S51&lt;=W51,"REPLENISHMENT REVIEW","NORMAL MONITORING"))))</f>
        <v/>
      </c>
      <c r="AA51" s="9">
        <f>IF(OR(Z51="DATA CONFLICT - VERIFY",Z51="SERVICE / STOCKOUT REVIEW"),0,IF(S51&lt;=W51,MAX(0,ROUNDUP(X51-S51,0)),0))</f>
        <v/>
      </c>
      <c r="AB51" s="8">
        <f>IF(Z51="DATA CONFLICT - VERIFY","P1 - DATA CONFLICT",IF(Z51="SERVICE / STOCKOUT REVIEW","P1 - SERVICE",IF(Z51="OVERSTOCK REVIEW","P2 - OVERSTOCK",IF(Z51="REPLENISHMENT REVIEW","P2 - REPLENISH","P3 - MONITOR"))))</f>
        <v/>
      </c>
      <c r="AC51" s="10" t="n">
        <v>2172.87</v>
      </c>
      <c r="AD51" s="10" t="n">
        <v>1809.566136</v>
      </c>
      <c r="AE51" s="10">
        <f>IF(OR(AD51="",H51=""),"",H51*AD51)</f>
        <v/>
      </c>
    </row>
    <row r="52">
      <c r="A52" s="13" t="inlineStr">
        <is>
          <t>2022-12-31</t>
        </is>
      </c>
      <c r="B52" s="13" t="n">
        <v>1696</v>
      </c>
      <c r="C52" s="14" t="inlineStr">
        <is>
          <t>NamStyle YY-07</t>
        </is>
      </c>
      <c r="D52" s="14" t="inlineStr">
        <is>
          <t>GenZ</t>
        </is>
      </c>
      <c r="E52" s="13" t="inlineStr">
        <is>
          <t>Trendy</t>
        </is>
      </c>
      <c r="F52" s="13" t="inlineStr">
        <is>
          <t>S</t>
        </is>
      </c>
      <c r="G52" s="13" t="inlineStr">
        <is>
          <t>green</t>
        </is>
      </c>
      <c r="H52" s="15" t="n">
        <v>3</v>
      </c>
      <c r="I52" s="15" t="n">
        <v>1</v>
      </c>
      <c r="J52" s="16" t="n">
        <v>1</v>
      </c>
      <c r="K52" s="16">
        <f>IFERROR(J52/30,0)</f>
        <v/>
      </c>
      <c r="L52" s="15" t="n">
        <v>0</v>
      </c>
      <c r="M52" s="17" t="n">
        <v>1</v>
      </c>
      <c r="N52" s="15" t="n">
        <v>0</v>
      </c>
      <c r="O52" s="15" t="n">
        <v>0</v>
      </c>
      <c r="P52" s="15" t="n">
        <v>0</v>
      </c>
      <c r="Q52" s="12" t="n">
        <v>0</v>
      </c>
      <c r="R52" s="12" t="n">
        <v>0</v>
      </c>
      <c r="S52" s="15">
        <f>H52+Q52-R52</f>
        <v/>
      </c>
      <c r="T52" s="12" t="n">
        <v>14</v>
      </c>
      <c r="U52" s="12" t="n">
        <v>7</v>
      </c>
      <c r="V52" s="12" t="n">
        <v>7</v>
      </c>
      <c r="W52" s="16">
        <f>K52*(T52+U52)</f>
        <v/>
      </c>
      <c r="X52" s="16">
        <f>K52*(T52+U52+V52)</f>
        <v/>
      </c>
      <c r="Y52" s="16">
        <f>IF(K52&gt;0,H52/K52,99999)</f>
        <v/>
      </c>
      <c r="Z52" s="14">
        <f>IF(AND(OR(L52&gt;=1,M52&lt;0.95),Y52&gt;120),"DATA CONFLICT - VERIFY",IF(OR(L52&gt;=1,M52&lt;0.95,Y52&lt;=14),"SERVICE / STOCKOUT REVIEW",IF(Y52&gt;120,"OVERSTOCK REVIEW",IF(S52&lt;=W52,"REPLENISHMENT REVIEW","NORMAL MONITORING"))))</f>
        <v/>
      </c>
      <c r="AA52" s="15">
        <f>IF(OR(Z52="DATA CONFLICT - VERIFY",Z52="SERVICE / STOCKOUT REVIEW"),0,IF(S52&lt;=W52,MAX(0,ROUNDUP(X52-S52,0)),0))</f>
        <v/>
      </c>
      <c r="AB52" s="14">
        <f>IF(Z52="DATA CONFLICT - VERIFY","P1 - DATA CONFLICT",IF(Z52="SERVICE / STOCKOUT REVIEW","P1 - SERVICE",IF(Z52="OVERSTOCK REVIEW","P2 - OVERSTOCK",IF(Z52="REPLENISHMENT REVIEW","P2 - REPLENISH","P3 - MONITOR"))))</f>
        <v/>
      </c>
      <c r="AC52" s="16" t="n">
        <v>2204.37</v>
      </c>
      <c r="AD52" s="16" t="n">
        <v>2094.1515</v>
      </c>
      <c r="AE52" s="16">
        <f>IF(OR(AD52="",H52=""),"",H52*AD52)</f>
        <v/>
      </c>
    </row>
    <row r="53">
      <c r="A53" s="7" t="inlineStr">
        <is>
          <t>2022-12-31</t>
        </is>
      </c>
      <c r="B53" s="7" t="n">
        <v>1698</v>
      </c>
      <c r="C53" s="8" t="inlineStr">
        <is>
          <t>NamStyle YY-09</t>
        </is>
      </c>
      <c r="D53" s="8" t="inlineStr">
        <is>
          <t>GenZ</t>
        </is>
      </c>
      <c r="E53" s="7" t="inlineStr">
        <is>
          <t>Trendy</t>
        </is>
      </c>
      <c r="F53" s="7" t="inlineStr">
        <is>
          <t>L</t>
        </is>
      </c>
      <c r="G53" s="7" t="inlineStr">
        <is>
          <t>pink</t>
        </is>
      </c>
      <c r="H53" s="9" t="n">
        <v>20</v>
      </c>
      <c r="I53" s="9" t="n">
        <v>4</v>
      </c>
      <c r="J53" s="10" t="n">
        <v>4.666666666666667</v>
      </c>
      <c r="K53" s="10">
        <f>IFERROR(J53/30,0)</f>
        <v/>
      </c>
      <c r="L53" s="9" t="n">
        <v>2</v>
      </c>
      <c r="M53" s="11" t="n">
        <v>0.9333</v>
      </c>
      <c r="N53" s="9" t="n">
        <v>1</v>
      </c>
      <c r="O53" s="9" t="n">
        <v>1</v>
      </c>
      <c r="P53" s="9" t="n">
        <v>0</v>
      </c>
      <c r="Q53" s="12" t="n">
        <v>0</v>
      </c>
      <c r="R53" s="12" t="n">
        <v>0</v>
      </c>
      <c r="S53" s="9">
        <f>H53+Q53-R53</f>
        <v/>
      </c>
      <c r="T53" s="12" t="n">
        <v>14</v>
      </c>
      <c r="U53" s="12" t="n">
        <v>7</v>
      </c>
      <c r="V53" s="12" t="n">
        <v>7</v>
      </c>
      <c r="W53" s="10">
        <f>K53*(T53+U53)</f>
        <v/>
      </c>
      <c r="X53" s="10">
        <f>K53*(T53+U53+V53)</f>
        <v/>
      </c>
      <c r="Y53" s="10">
        <f>IF(K53&gt;0,H53/K53,99999)</f>
        <v/>
      </c>
      <c r="Z53" s="8">
        <f>IF(AND(OR(L53&gt;=1,M53&lt;0.95),Y53&gt;120),"DATA CONFLICT - VERIFY",IF(OR(L53&gt;=1,M53&lt;0.95,Y53&lt;=14),"SERVICE / STOCKOUT REVIEW",IF(Y53&gt;120,"OVERSTOCK REVIEW",IF(S53&lt;=W53,"REPLENISHMENT REVIEW","NORMAL MONITORING"))))</f>
        <v/>
      </c>
      <c r="AA53" s="9">
        <f>IF(OR(Z53="DATA CONFLICT - VERIFY",Z53="SERVICE / STOCKOUT REVIEW"),0,IF(S53&lt;=W53,MAX(0,ROUNDUP(X53-S53,0)),0))</f>
        <v/>
      </c>
      <c r="AB53" s="8">
        <f>IF(Z53="DATA CONFLICT - VERIFY","P1 - DATA CONFLICT",IF(Z53="SERVICE / STOCKOUT REVIEW","P1 - SERVICE",IF(Z53="OVERSTOCK REVIEW","P2 - OVERSTOCK",IF(Z53="REPLENISHMENT REVIEW","P2 - REPLENISH","P3 - MONITOR"))))</f>
        <v/>
      </c>
      <c r="AC53" s="10" t="n">
        <v>1898.703333333333</v>
      </c>
      <c r="AD53" s="10" t="n">
        <v>1803.768166666667</v>
      </c>
      <c r="AE53" s="10">
        <f>IF(OR(AD53="",H53=""),"",H53*AD53)</f>
        <v/>
      </c>
    </row>
    <row r="54">
      <c r="A54" s="13" t="inlineStr">
        <is>
          <t>2022-12-31</t>
        </is>
      </c>
      <c r="B54" s="13" t="n">
        <v>1700</v>
      </c>
      <c r="C54" s="14" t="inlineStr">
        <is>
          <t>NamStyle YY-11</t>
        </is>
      </c>
      <c r="D54" s="14" t="inlineStr">
        <is>
          <t>GenZ</t>
        </is>
      </c>
      <c r="E54" s="13" t="inlineStr">
        <is>
          <t>Trendy</t>
        </is>
      </c>
      <c r="F54" s="13" t="inlineStr">
        <is>
          <t>S</t>
        </is>
      </c>
      <c r="G54" s="13" t="inlineStr">
        <is>
          <t>red</t>
        </is>
      </c>
      <c r="H54" s="15" t="n">
        <v>9</v>
      </c>
      <c r="I54" s="15" t="n">
        <v>1</v>
      </c>
      <c r="J54" s="16" t="n">
        <v>1.333333333333333</v>
      </c>
      <c r="K54" s="16">
        <f>IFERROR(J54/30,0)</f>
        <v/>
      </c>
      <c r="L54" s="15" t="n">
        <v>0</v>
      </c>
      <c r="M54" s="17" t="n">
        <v>1</v>
      </c>
      <c r="N54" s="15" t="n">
        <v>0</v>
      </c>
      <c r="O54" s="15" t="n">
        <v>1</v>
      </c>
      <c r="P54" s="15" t="n">
        <v>0</v>
      </c>
      <c r="Q54" s="12" t="n">
        <v>0</v>
      </c>
      <c r="R54" s="12" t="n">
        <v>0</v>
      </c>
      <c r="S54" s="15">
        <f>H54+Q54-R54</f>
        <v/>
      </c>
      <c r="T54" s="12" t="n">
        <v>14</v>
      </c>
      <c r="U54" s="12" t="n">
        <v>7</v>
      </c>
      <c r="V54" s="12" t="n">
        <v>7</v>
      </c>
      <c r="W54" s="16">
        <f>K54*(T54+U54)</f>
        <v/>
      </c>
      <c r="X54" s="16">
        <f>K54*(T54+U54+V54)</f>
        <v/>
      </c>
      <c r="Y54" s="16">
        <f>IF(K54&gt;0,H54/K54,99999)</f>
        <v/>
      </c>
      <c r="Z54" s="14">
        <f>IF(AND(OR(L54&gt;=1,M54&lt;0.95),Y54&gt;120),"DATA CONFLICT - VERIFY",IF(OR(L54&gt;=1,M54&lt;0.95,Y54&lt;=14),"SERVICE / STOCKOUT REVIEW",IF(Y54&gt;120,"OVERSTOCK REVIEW",IF(S54&lt;=W54,"REPLENISHMENT REVIEW","NORMAL MONITORING"))))</f>
        <v/>
      </c>
      <c r="AA54" s="15">
        <f>IF(OR(Z54="DATA CONFLICT - VERIFY",Z54="SERVICE / STOCKOUT REVIEW"),0,IF(S54&lt;=W54,MAX(0,ROUNDUP(X54-S54,0)),0))</f>
        <v/>
      </c>
      <c r="AB54" s="14">
        <f>IF(Z54="DATA CONFLICT - VERIFY","P1 - DATA CONFLICT",IF(Z54="SERVICE / STOCKOUT REVIEW","P1 - SERVICE",IF(Z54="OVERSTOCK REVIEW","P2 - OVERSTOCK",IF(Z54="REPLENISHMENT REVIEW","P2 - REPLENISH","P3 - MONITOR"))))</f>
        <v/>
      </c>
      <c r="AC54" s="16" t="n">
        <v>1301.63582278481</v>
      </c>
      <c r="AD54" s="16" t="n">
        <v>745.4468357088607</v>
      </c>
      <c r="AE54" s="16">
        <f>IF(OR(AD54="",H54=""),"",H54*AD54)</f>
        <v/>
      </c>
    </row>
    <row r="55">
      <c r="A55" s="7" t="inlineStr">
        <is>
          <t>2022-12-31</t>
        </is>
      </c>
      <c r="B55" s="7" t="n">
        <v>1701</v>
      </c>
      <c r="C55" s="8" t="inlineStr">
        <is>
          <t>NamStyle YY-12</t>
        </is>
      </c>
      <c r="D55" s="8" t="inlineStr">
        <is>
          <t>GenZ</t>
        </is>
      </c>
      <c r="E55" s="7" t="inlineStr">
        <is>
          <t>Trendy</t>
        </is>
      </c>
      <c r="F55" s="7" t="inlineStr">
        <is>
          <t>M</t>
        </is>
      </c>
      <c r="G55" s="7" t="inlineStr">
        <is>
          <t>black</t>
        </is>
      </c>
      <c r="H55" s="9" t="n">
        <v>6</v>
      </c>
      <c r="I55" s="9" t="n">
        <v>1</v>
      </c>
      <c r="J55" s="10" t="n">
        <v>1</v>
      </c>
      <c r="K55" s="10">
        <f>IFERROR(J55/30,0)</f>
        <v/>
      </c>
      <c r="L55" s="9" t="n">
        <v>1</v>
      </c>
      <c r="M55" s="11" t="n">
        <v>0.9667</v>
      </c>
      <c r="N55" s="9" t="n">
        <v>1</v>
      </c>
      <c r="O55" s="9" t="n">
        <v>1</v>
      </c>
      <c r="P55" s="9" t="n">
        <v>0</v>
      </c>
      <c r="Q55" s="12" t="n">
        <v>0</v>
      </c>
      <c r="R55" s="12" t="n">
        <v>0</v>
      </c>
      <c r="S55" s="9">
        <f>H55+Q55-R55</f>
        <v/>
      </c>
      <c r="T55" s="12" t="n">
        <v>14</v>
      </c>
      <c r="U55" s="12" t="n">
        <v>7</v>
      </c>
      <c r="V55" s="12" t="n">
        <v>7</v>
      </c>
      <c r="W55" s="10">
        <f>K55*(T55+U55)</f>
        <v/>
      </c>
      <c r="X55" s="10">
        <f>K55*(T55+U55+V55)</f>
        <v/>
      </c>
      <c r="Y55" s="10">
        <f>IF(K55&gt;0,H55/K55,99999)</f>
        <v/>
      </c>
      <c r="Z55" s="8">
        <f>IF(AND(OR(L55&gt;=1,M55&lt;0.95),Y55&gt;120),"DATA CONFLICT - VERIFY",IF(OR(L55&gt;=1,M55&lt;0.95,Y55&lt;=14),"SERVICE / STOCKOUT REVIEW",IF(Y55&gt;120,"OVERSTOCK REVIEW",IF(S55&lt;=W55,"REPLENISHMENT REVIEW","NORMAL MONITORING"))))</f>
        <v/>
      </c>
      <c r="AA55" s="9">
        <f>IF(OR(Z55="DATA CONFLICT - VERIFY",Z55="SERVICE / STOCKOUT REVIEW"),0,IF(S55&lt;=W55,MAX(0,ROUNDUP(X55-S55,0)),0))</f>
        <v/>
      </c>
      <c r="AB55" s="8">
        <f>IF(Z55="DATA CONFLICT - VERIFY","P1 - DATA CONFLICT",IF(Z55="SERVICE / STOCKOUT REVIEW","P1 - SERVICE",IF(Z55="OVERSTOCK REVIEW","P2 - OVERSTOCK",IF(Z55="REPLENISHMENT REVIEW","P2 - REPLENISH","P3 - MONITOR"))))</f>
        <v/>
      </c>
      <c r="AC55" s="10" t="n">
        <v>3401.37</v>
      </c>
      <c r="AD55" s="10" t="n">
        <v>1813.950621</v>
      </c>
      <c r="AE55" s="10">
        <f>IF(OR(AD55="",H55=""),"",H55*AD55)</f>
        <v/>
      </c>
    </row>
    <row r="56">
      <c r="A56" s="13" t="inlineStr">
        <is>
          <t>2022-12-31</t>
        </is>
      </c>
      <c r="B56" s="13" t="n">
        <v>1703</v>
      </c>
      <c r="C56" s="14" t="inlineStr">
        <is>
          <t>NamStyle YY-14</t>
        </is>
      </c>
      <c r="D56" s="14" t="inlineStr">
        <is>
          <t>GenZ</t>
        </is>
      </c>
      <c r="E56" s="13" t="inlineStr">
        <is>
          <t>Trendy</t>
        </is>
      </c>
      <c r="F56" s="13" t="inlineStr">
        <is>
          <t>XL</t>
        </is>
      </c>
      <c r="G56" s="13" t="inlineStr">
        <is>
          <t>blue</t>
        </is>
      </c>
      <c r="H56" s="15" t="n">
        <v>33</v>
      </c>
      <c r="I56" s="15" t="n">
        <v>3</v>
      </c>
      <c r="J56" s="16" t="n">
        <v>3</v>
      </c>
      <c r="K56" s="16">
        <f>IFERROR(J56/30,0)</f>
        <v/>
      </c>
      <c r="L56" s="15" t="n">
        <v>1</v>
      </c>
      <c r="M56" s="17" t="n">
        <v>0.9667</v>
      </c>
      <c r="N56" s="15" t="n">
        <v>1</v>
      </c>
      <c r="O56" s="15" t="n">
        <v>1</v>
      </c>
      <c r="P56" s="15" t="n">
        <v>0</v>
      </c>
      <c r="Q56" s="12" t="n">
        <v>0</v>
      </c>
      <c r="R56" s="12" t="n">
        <v>0</v>
      </c>
      <c r="S56" s="15">
        <f>H56+Q56-R56</f>
        <v/>
      </c>
      <c r="T56" s="12" t="n">
        <v>14</v>
      </c>
      <c r="U56" s="12" t="n">
        <v>7</v>
      </c>
      <c r="V56" s="12" t="n">
        <v>7</v>
      </c>
      <c r="W56" s="16">
        <f>K56*(T56+U56)</f>
        <v/>
      </c>
      <c r="X56" s="16">
        <f>K56*(T56+U56+V56)</f>
        <v/>
      </c>
      <c r="Y56" s="16">
        <f>IF(K56&gt;0,H56/K56,99999)</f>
        <v/>
      </c>
      <c r="Z56" s="14">
        <f>IF(AND(OR(L56&gt;=1,M56&lt;0.95),Y56&gt;120),"DATA CONFLICT - VERIFY",IF(OR(L56&gt;=1,M56&lt;0.95,Y56&lt;=14),"SERVICE / STOCKOUT REVIEW",IF(Y56&gt;120,"OVERSTOCK REVIEW",IF(S56&lt;=W56,"REPLENISHMENT REVIEW","NORMAL MONITORING"))))</f>
        <v/>
      </c>
      <c r="AA56" s="15">
        <f>IF(OR(Z56="DATA CONFLICT - VERIFY",Z56="SERVICE / STOCKOUT REVIEW"),0,IF(S56&lt;=W56,MAX(0,ROUNDUP(X56-S56,0)),0))</f>
        <v/>
      </c>
      <c r="AB56" s="14">
        <f>IF(Z56="DATA CONFLICT - VERIFY","P1 - DATA CONFLICT",IF(Z56="SERVICE / STOCKOUT REVIEW","P1 - SERVICE",IF(Z56="OVERSTOCK REVIEW","P2 - OVERSTOCK",IF(Z56="REPLENISHMENT REVIEW","P2 - REPLENISH","P3 - MONITOR"))))</f>
        <v/>
      </c>
      <c r="AC56" s="16" t="n">
        <v>1242.55220338983</v>
      </c>
      <c r="AD56" s="16" t="n">
        <v>1180.424593220339</v>
      </c>
      <c r="AE56" s="16">
        <f>IF(OR(AD56="",H56=""),"",H56*AD56)</f>
        <v/>
      </c>
    </row>
    <row r="57">
      <c r="A57" s="7" t="inlineStr">
        <is>
          <t>2022-12-31</t>
        </is>
      </c>
      <c r="B57" s="7" t="n">
        <v>1706</v>
      </c>
      <c r="C57" s="8" t="inlineStr">
        <is>
          <t>NamStyle YY-17</t>
        </is>
      </c>
      <c r="D57" s="8" t="inlineStr">
        <is>
          <t>GenZ</t>
        </is>
      </c>
      <c r="E57" s="7" t="inlineStr">
        <is>
          <t>Trendy</t>
        </is>
      </c>
      <c r="F57" s="7" t="inlineStr">
        <is>
          <t>L</t>
        </is>
      </c>
      <c r="G57" s="7" t="inlineStr">
        <is>
          <t>green</t>
        </is>
      </c>
      <c r="H57" s="9" t="n">
        <v>3</v>
      </c>
      <c r="I57" s="9" t="n">
        <v>2</v>
      </c>
      <c r="J57" s="10" t="n">
        <v>1.666666666666667</v>
      </c>
      <c r="K57" s="10">
        <f>IFERROR(J57/30,0)</f>
        <v/>
      </c>
      <c r="L57" s="9" t="n">
        <v>0</v>
      </c>
      <c r="M57" s="11" t="n">
        <v>1</v>
      </c>
      <c r="N57" s="9" t="n">
        <v>0</v>
      </c>
      <c r="O57" s="9" t="n">
        <v>0</v>
      </c>
      <c r="P57" s="9" t="n">
        <v>0</v>
      </c>
      <c r="Q57" s="12" t="n">
        <v>0</v>
      </c>
      <c r="R57" s="12" t="n">
        <v>0</v>
      </c>
      <c r="S57" s="9">
        <f>H57+Q57-R57</f>
        <v/>
      </c>
      <c r="T57" s="12" t="n">
        <v>14</v>
      </c>
      <c r="U57" s="12" t="n">
        <v>7</v>
      </c>
      <c r="V57" s="12" t="n">
        <v>7</v>
      </c>
      <c r="W57" s="10">
        <f>K57*(T57+U57)</f>
        <v/>
      </c>
      <c r="X57" s="10">
        <f>K57*(T57+U57+V57)</f>
        <v/>
      </c>
      <c r="Y57" s="10">
        <f>IF(K57&gt;0,H57/K57,99999)</f>
        <v/>
      </c>
      <c r="Z57" s="8">
        <f>IF(AND(OR(L57&gt;=1,M57&lt;0.95),Y57&gt;120),"DATA CONFLICT - VERIFY",IF(OR(L57&gt;=1,M57&lt;0.95,Y57&lt;=14),"SERVICE / STOCKOUT REVIEW",IF(Y57&gt;120,"OVERSTOCK REVIEW",IF(S57&lt;=W57,"REPLENISHMENT REVIEW","NORMAL MONITORING"))))</f>
        <v/>
      </c>
      <c r="AA57" s="9">
        <f>IF(OR(Z57="DATA CONFLICT - VERIFY",Z57="SERVICE / STOCKOUT REVIEW"),0,IF(S57&lt;=W57,MAX(0,ROUNDUP(X57-S57,0)),0))</f>
        <v/>
      </c>
      <c r="AB57" s="8">
        <f>IF(Z57="DATA CONFLICT - VERIFY","P1 - DATA CONFLICT",IF(Z57="SERVICE / STOCKOUT REVIEW","P1 - SERVICE",IF(Z57="OVERSTOCK REVIEW","P2 - OVERSTOCK",IF(Z57="REPLENISHMENT REVIEW","P2 - REPLENISH","P3 - MONITOR"))))</f>
        <v/>
      </c>
      <c r="AC57" s="10" t="n">
        <v>2828.07</v>
      </c>
      <c r="AD57" s="10" t="n">
        <v>2686.6665</v>
      </c>
      <c r="AE57" s="10">
        <f>IF(OR(AD57="",H57=""),"",H57*AD57)</f>
        <v/>
      </c>
    </row>
    <row r="58">
      <c r="A58" s="13" t="inlineStr">
        <is>
          <t>2022-12-31</t>
        </is>
      </c>
      <c r="B58" s="13" t="n">
        <v>1707</v>
      </c>
      <c r="C58" s="14" t="inlineStr">
        <is>
          <t>NamStyle YY-18</t>
        </is>
      </c>
      <c r="D58" s="14" t="inlineStr">
        <is>
          <t>GenZ</t>
        </is>
      </c>
      <c r="E58" s="13" t="inlineStr">
        <is>
          <t>Trendy</t>
        </is>
      </c>
      <c r="F58" s="13" t="inlineStr">
        <is>
          <t>XL</t>
        </is>
      </c>
      <c r="G58" s="13" t="inlineStr">
        <is>
          <t>silver</t>
        </is>
      </c>
      <c r="H58" s="15" t="n">
        <v>45</v>
      </c>
      <c r="I58" s="15" t="n">
        <v>3</v>
      </c>
      <c r="J58" s="16" t="n">
        <v>2</v>
      </c>
      <c r="K58" s="16">
        <f>IFERROR(J58/30,0)</f>
        <v/>
      </c>
      <c r="L58" s="15" t="n">
        <v>1</v>
      </c>
      <c r="M58" s="17" t="n">
        <v>0.9667</v>
      </c>
      <c r="N58" s="15" t="n">
        <v>1</v>
      </c>
      <c r="O58" s="15" t="n">
        <v>1</v>
      </c>
      <c r="P58" s="15" t="n">
        <v>0</v>
      </c>
      <c r="Q58" s="12" t="n">
        <v>0</v>
      </c>
      <c r="R58" s="12" t="n">
        <v>0</v>
      </c>
      <c r="S58" s="15">
        <f>H58+Q58-R58</f>
        <v/>
      </c>
      <c r="T58" s="12" t="n">
        <v>14</v>
      </c>
      <c r="U58" s="12" t="n">
        <v>7</v>
      </c>
      <c r="V58" s="12" t="n">
        <v>7</v>
      </c>
      <c r="W58" s="16">
        <f>K58*(T58+U58)</f>
        <v/>
      </c>
      <c r="X58" s="16">
        <f>K58*(T58+U58+V58)</f>
        <v/>
      </c>
      <c r="Y58" s="16">
        <f>IF(K58&gt;0,H58/K58,99999)</f>
        <v/>
      </c>
      <c r="Z58" s="14">
        <f>IF(AND(OR(L58&gt;=1,M58&lt;0.95),Y58&gt;120),"DATA CONFLICT - VERIFY",IF(OR(L58&gt;=1,M58&lt;0.95,Y58&lt;=14),"SERVICE / STOCKOUT REVIEW",IF(Y58&gt;120,"OVERSTOCK REVIEW",IF(S58&lt;=W58,"REPLENISHMENT REVIEW","NORMAL MONITORING"))))</f>
        <v/>
      </c>
      <c r="AA58" s="15">
        <f>IF(OR(Z58="DATA CONFLICT - VERIFY",Z58="SERVICE / STOCKOUT REVIEW"),0,IF(S58&lt;=W58,MAX(0,ROUNDUP(X58-S58,0)),0))</f>
        <v/>
      </c>
      <c r="AB58" s="14">
        <f>IF(Z58="DATA CONFLICT - VERIFY","P1 - DATA CONFLICT",IF(Z58="SERVICE / STOCKOUT REVIEW","P1 - SERVICE",IF(Z58="OVERSTOCK REVIEW","P2 - OVERSTOCK",IF(Z58="REPLENISHMENT REVIEW","P2 - REPLENISH","P3 - MONITOR"))))</f>
        <v/>
      </c>
      <c r="AC58" s="16" t="n">
        <v>1539.967269624573</v>
      </c>
      <c r="AD58" s="16" t="n">
        <v>1326.06581587372</v>
      </c>
      <c r="AE58" s="16">
        <f>IF(OR(AD58="",H58=""),"",H58*AD58)</f>
        <v/>
      </c>
    </row>
    <row r="59">
      <c r="A59" s="7" t="inlineStr">
        <is>
          <t>2022-12-31</t>
        </is>
      </c>
      <c r="B59" s="7" t="n">
        <v>1711</v>
      </c>
      <c r="C59" s="8" t="inlineStr">
        <is>
          <t>NamStyle YY-22</t>
        </is>
      </c>
      <c r="D59" s="8" t="inlineStr">
        <is>
          <t>GenZ</t>
        </is>
      </c>
      <c r="E59" s="7" t="inlineStr">
        <is>
          <t>Trendy</t>
        </is>
      </c>
      <c r="F59" s="7" t="inlineStr">
        <is>
          <t>XL</t>
        </is>
      </c>
      <c r="G59" s="7" t="inlineStr">
        <is>
          <t>black</t>
        </is>
      </c>
      <c r="H59" s="9" t="n">
        <v>5</v>
      </c>
      <c r="I59" s="9" t="n">
        <v>2</v>
      </c>
      <c r="J59" s="10" t="n">
        <v>1.666666666666667</v>
      </c>
      <c r="K59" s="10">
        <f>IFERROR(J59/30,0)</f>
        <v/>
      </c>
      <c r="L59" s="9" t="n">
        <v>2</v>
      </c>
      <c r="M59" s="11" t="n">
        <v>0.9333</v>
      </c>
      <c r="N59" s="9" t="n">
        <v>1</v>
      </c>
      <c r="O59" s="9" t="n">
        <v>0</v>
      </c>
      <c r="P59" s="9" t="n">
        <v>0</v>
      </c>
      <c r="Q59" s="12" t="n">
        <v>0</v>
      </c>
      <c r="R59" s="12" t="n">
        <v>0</v>
      </c>
      <c r="S59" s="9">
        <f>H59+Q59-R59</f>
        <v/>
      </c>
      <c r="T59" s="12" t="n">
        <v>14</v>
      </c>
      <c r="U59" s="12" t="n">
        <v>7</v>
      </c>
      <c r="V59" s="12" t="n">
        <v>7</v>
      </c>
      <c r="W59" s="10">
        <f>K59*(T59+U59)</f>
        <v/>
      </c>
      <c r="X59" s="10">
        <f>K59*(T59+U59+V59)</f>
        <v/>
      </c>
      <c r="Y59" s="10">
        <f>IF(K59&gt;0,H59/K59,99999)</f>
        <v/>
      </c>
      <c r="Z59" s="8">
        <f>IF(AND(OR(L59&gt;=1,M59&lt;0.95),Y59&gt;120),"DATA CONFLICT - VERIFY",IF(OR(L59&gt;=1,M59&lt;0.95,Y59&lt;=14),"SERVICE / STOCKOUT REVIEW",IF(Y59&gt;120,"OVERSTOCK REVIEW",IF(S59&lt;=W59,"REPLENISHMENT REVIEW","NORMAL MONITORING"))))</f>
        <v/>
      </c>
      <c r="AA59" s="9">
        <f>IF(OR(Z59="DATA CONFLICT - VERIFY",Z59="SERVICE / STOCKOUT REVIEW"),0,IF(S59&lt;=W59,MAX(0,ROUNDUP(X59-S59,0)),0))</f>
        <v/>
      </c>
      <c r="AB59" s="8">
        <f>IF(Z59="DATA CONFLICT - VERIFY","P1 - DATA CONFLICT",IF(Z59="SERVICE / STOCKOUT REVIEW","P1 - SERVICE",IF(Z59="OVERSTOCK REVIEW","P2 - OVERSTOCK",IF(Z59="REPLENISHMENT REVIEW","P2 - REPLENISH","P3 - MONITOR"))))</f>
        <v/>
      </c>
      <c r="AC59" s="10" t="n">
        <v>1386.882</v>
      </c>
      <c r="AD59" s="10" t="n">
        <v>1076.913873</v>
      </c>
      <c r="AE59" s="10">
        <f>IF(OR(AD59="",H59=""),"",H59*AD59)</f>
        <v/>
      </c>
    </row>
    <row r="60">
      <c r="A60" s="13" t="inlineStr">
        <is>
          <t>2022-12-31</t>
        </is>
      </c>
      <c r="B60" s="13" t="n">
        <v>1714</v>
      </c>
      <c r="C60" s="14" t="inlineStr">
        <is>
          <t>NamStyle YY-25</t>
        </is>
      </c>
      <c r="D60" s="14" t="inlineStr">
        <is>
          <t>GenZ</t>
        </is>
      </c>
      <c r="E60" s="13" t="inlineStr">
        <is>
          <t>Trendy</t>
        </is>
      </c>
      <c r="F60" s="13" t="inlineStr">
        <is>
          <t>L</t>
        </is>
      </c>
      <c r="G60" s="13" t="inlineStr">
        <is>
          <t>white</t>
        </is>
      </c>
      <c r="H60" s="15" t="n">
        <v>15</v>
      </c>
      <c r="I60" s="15" t="n">
        <v>1</v>
      </c>
      <c r="J60" s="16" t="n">
        <v>1</v>
      </c>
      <c r="K60" s="16">
        <f>IFERROR(J60/30,0)</f>
        <v/>
      </c>
      <c r="L60" s="15" t="n">
        <v>0</v>
      </c>
      <c r="M60" s="17" t="n">
        <v>1</v>
      </c>
      <c r="N60" s="15" t="n">
        <v>0</v>
      </c>
      <c r="O60" s="15" t="n">
        <v>1</v>
      </c>
      <c r="P60" s="15" t="n">
        <v>0</v>
      </c>
      <c r="Q60" s="12" t="n">
        <v>0</v>
      </c>
      <c r="R60" s="12" t="n">
        <v>0</v>
      </c>
      <c r="S60" s="15">
        <f>H60+Q60-R60</f>
        <v/>
      </c>
      <c r="T60" s="12" t="n">
        <v>14</v>
      </c>
      <c r="U60" s="12" t="n">
        <v>7</v>
      </c>
      <c r="V60" s="12" t="n">
        <v>7</v>
      </c>
      <c r="W60" s="16">
        <f>K60*(T60+U60)</f>
        <v/>
      </c>
      <c r="X60" s="16">
        <f>K60*(T60+U60+V60)</f>
        <v/>
      </c>
      <c r="Y60" s="16">
        <f>IF(K60&gt;0,H60/K60,99999)</f>
        <v/>
      </c>
      <c r="Z60" s="14">
        <f>IF(AND(OR(L60&gt;=1,M60&lt;0.95),Y60&gt;120),"DATA CONFLICT - VERIFY",IF(OR(L60&gt;=1,M60&lt;0.95,Y60&lt;=14),"SERVICE / STOCKOUT REVIEW",IF(Y60&gt;120,"OVERSTOCK REVIEW",IF(S60&lt;=W60,"REPLENISHMENT REVIEW","NORMAL MONITORING"))))</f>
        <v/>
      </c>
      <c r="AA60" s="15">
        <f>IF(OR(Z60="DATA CONFLICT - VERIFY",Z60="SERVICE / STOCKOUT REVIEW"),0,IF(S60&lt;=W60,MAX(0,ROUNDUP(X60-S60,0)),0))</f>
        <v/>
      </c>
      <c r="AB60" s="14">
        <f>IF(Z60="DATA CONFLICT - VERIFY","P1 - DATA CONFLICT",IF(Z60="SERVICE / STOCKOUT REVIEW","P1 - SERVICE",IF(Z60="OVERSTOCK REVIEW","P2 - OVERSTOCK",IF(Z60="REPLENISHMENT REVIEW","P2 - REPLENISH","P3 - MONITOR"))))</f>
        <v/>
      </c>
      <c r="AC60" s="16" t="n">
        <v>1321.587391304348</v>
      </c>
      <c r="AD60" s="16" t="n">
        <v>1255.50802173913</v>
      </c>
      <c r="AE60" s="16">
        <f>IF(OR(AD60="",H60=""),"",H60*AD60)</f>
        <v/>
      </c>
    </row>
    <row r="61">
      <c r="A61" s="7" t="inlineStr">
        <is>
          <t>2022-12-31</t>
        </is>
      </c>
      <c r="B61" s="7" t="n">
        <v>1720</v>
      </c>
      <c r="C61" s="8" t="inlineStr">
        <is>
          <t>NamStyle YY-31</t>
        </is>
      </c>
      <c r="D61" s="8" t="inlineStr">
        <is>
          <t>GenZ</t>
        </is>
      </c>
      <c r="E61" s="7" t="inlineStr">
        <is>
          <t>Trendy</t>
        </is>
      </c>
      <c r="F61" s="7" t="inlineStr">
        <is>
          <t>S</t>
        </is>
      </c>
      <c r="G61" s="7" t="inlineStr">
        <is>
          <t>red</t>
        </is>
      </c>
      <c r="H61" s="9" t="n">
        <v>3</v>
      </c>
      <c r="I61" s="9" t="n">
        <v>3</v>
      </c>
      <c r="J61" s="10" t="n">
        <v>2.333333333333333</v>
      </c>
      <c r="K61" s="10">
        <f>IFERROR(J61/30,0)</f>
        <v/>
      </c>
      <c r="L61" s="9" t="n">
        <v>0</v>
      </c>
      <c r="M61" s="11" t="n">
        <v>1</v>
      </c>
      <c r="N61" s="9" t="n">
        <v>0</v>
      </c>
      <c r="O61" s="9" t="n">
        <v>0</v>
      </c>
      <c r="P61" s="9" t="n">
        <v>0</v>
      </c>
      <c r="Q61" s="12" t="n">
        <v>0</v>
      </c>
      <c r="R61" s="12" t="n">
        <v>0</v>
      </c>
      <c r="S61" s="9">
        <f>H61+Q61-R61</f>
        <v/>
      </c>
      <c r="T61" s="12" t="n">
        <v>14</v>
      </c>
      <c r="U61" s="12" t="n">
        <v>7</v>
      </c>
      <c r="V61" s="12" t="n">
        <v>7</v>
      </c>
      <c r="W61" s="10">
        <f>K61*(T61+U61)</f>
        <v/>
      </c>
      <c r="X61" s="10">
        <f>K61*(T61+U61+V61)</f>
        <v/>
      </c>
      <c r="Y61" s="10">
        <f>IF(K61&gt;0,H61/K61,99999)</f>
        <v/>
      </c>
      <c r="Z61" s="8">
        <f>IF(AND(OR(L61&gt;=1,M61&lt;0.95),Y61&gt;120),"DATA CONFLICT - VERIFY",IF(OR(L61&gt;=1,M61&lt;0.95,Y61&lt;=14),"SERVICE / STOCKOUT REVIEW",IF(Y61&gt;120,"OVERSTOCK REVIEW",IF(S61&lt;=W61,"REPLENISHMENT REVIEW","NORMAL MONITORING"))))</f>
        <v/>
      </c>
      <c r="AA61" s="9">
        <f>IF(OR(Z61="DATA CONFLICT - VERIFY",Z61="SERVICE / STOCKOUT REVIEW"),0,IF(S61&lt;=W61,MAX(0,ROUNDUP(X61-S61,0)),0))</f>
        <v/>
      </c>
      <c r="AB61" s="8">
        <f>IF(Z61="DATA CONFLICT - VERIFY","P1 - DATA CONFLICT",IF(Z61="SERVICE / STOCKOUT REVIEW","P1 - SERVICE",IF(Z61="OVERSTOCK REVIEW","P2 - OVERSTOCK",IF(Z61="REPLENISHMENT REVIEW","P2 - REPLENISH","P3 - MONITOR"))))</f>
        <v/>
      </c>
      <c r="AC61" s="10" t="n">
        <v>3527.37</v>
      </c>
      <c r="AD61" s="10" t="n">
        <v>2218.362993</v>
      </c>
      <c r="AE61" s="10">
        <f>IF(OR(AD61="",H61=""),"",H61*AD61)</f>
        <v/>
      </c>
    </row>
    <row r="62">
      <c r="A62" s="13" t="inlineStr">
        <is>
          <t>2022-12-31</t>
        </is>
      </c>
      <c r="B62" s="13" t="n">
        <v>1722</v>
      </c>
      <c r="C62" s="14" t="inlineStr">
        <is>
          <t>NamStyle YY-33</t>
        </is>
      </c>
      <c r="D62" s="14" t="inlineStr">
        <is>
          <t>GenZ</t>
        </is>
      </c>
      <c r="E62" s="13" t="inlineStr">
        <is>
          <t>Trendy</t>
        </is>
      </c>
      <c r="F62" s="13" t="inlineStr">
        <is>
          <t>L</t>
        </is>
      </c>
      <c r="G62" s="13" t="inlineStr">
        <is>
          <t>orange</t>
        </is>
      </c>
      <c r="H62" s="15" t="n">
        <v>75</v>
      </c>
      <c r="I62" s="15" t="n">
        <v>8</v>
      </c>
      <c r="J62" s="16" t="n">
        <v>8</v>
      </c>
      <c r="K62" s="16">
        <f>IFERROR(J62/30,0)</f>
        <v/>
      </c>
      <c r="L62" s="15" t="n">
        <v>2</v>
      </c>
      <c r="M62" s="17" t="n">
        <v>0.9333</v>
      </c>
      <c r="N62" s="15" t="n">
        <v>1</v>
      </c>
      <c r="O62" s="15" t="n">
        <v>1</v>
      </c>
      <c r="P62" s="15" t="n">
        <v>0</v>
      </c>
      <c r="Q62" s="12" t="n">
        <v>0</v>
      </c>
      <c r="R62" s="12" t="n">
        <v>0</v>
      </c>
      <c r="S62" s="15">
        <f>H62+Q62-R62</f>
        <v/>
      </c>
      <c r="T62" s="12" t="n">
        <v>14</v>
      </c>
      <c r="U62" s="12" t="n">
        <v>7</v>
      </c>
      <c r="V62" s="12" t="n">
        <v>7</v>
      </c>
      <c r="W62" s="16">
        <f>K62*(T62+U62)</f>
        <v/>
      </c>
      <c r="X62" s="16">
        <f>K62*(T62+U62+V62)</f>
        <v/>
      </c>
      <c r="Y62" s="16">
        <f>IF(K62&gt;0,H62/K62,99999)</f>
        <v/>
      </c>
      <c r="Z62" s="14">
        <f>IF(AND(OR(L62&gt;=1,M62&lt;0.95),Y62&gt;120),"DATA CONFLICT - VERIFY",IF(OR(L62&gt;=1,M62&lt;0.95,Y62&lt;=14),"SERVICE / STOCKOUT REVIEW",IF(Y62&gt;120,"OVERSTOCK REVIEW",IF(S62&lt;=W62,"REPLENISHMENT REVIEW","NORMAL MONITORING"))))</f>
        <v/>
      </c>
      <c r="AA62" s="15">
        <f>IF(OR(Z62="DATA CONFLICT - VERIFY",Z62="SERVICE / STOCKOUT REVIEW"),0,IF(S62&lt;=W62,MAX(0,ROUNDUP(X62-S62,0)),0))</f>
        <v/>
      </c>
      <c r="AB62" s="14">
        <f>IF(Z62="DATA CONFLICT - VERIFY","P1 - DATA CONFLICT",IF(Z62="SERVICE / STOCKOUT REVIEW","P1 - SERVICE",IF(Z62="OVERSTOCK REVIEW","P2 - OVERSTOCK",IF(Z62="REPLENISHMENT REVIEW","P2 - REPLENISH","P3 - MONITOR"))))</f>
        <v/>
      </c>
      <c r="AC62" s="16" t="n">
        <v>965.8049112426036</v>
      </c>
      <c r="AD62" s="16" t="n">
        <v>495.4579194674556</v>
      </c>
      <c r="AE62" s="16">
        <f>IF(OR(AD62="",H62=""),"",H62*AD62)</f>
        <v/>
      </c>
    </row>
    <row r="63">
      <c r="A63" s="7" t="inlineStr">
        <is>
          <t>2022-12-31</t>
        </is>
      </c>
      <c r="B63" s="7" t="n">
        <v>1809</v>
      </c>
      <c r="C63" s="8" t="inlineStr">
        <is>
          <t>SaigonCore YY-04</t>
        </is>
      </c>
      <c r="D63" s="8" t="inlineStr">
        <is>
          <t>GenZ</t>
        </is>
      </c>
      <c r="E63" s="7" t="inlineStr">
        <is>
          <t>Trendy</t>
        </is>
      </c>
      <c r="F63" s="7" t="inlineStr">
        <is>
          <t>M</t>
        </is>
      </c>
      <c r="G63" s="7" t="inlineStr">
        <is>
          <t>yellow</t>
        </is>
      </c>
      <c r="H63" s="9" t="n">
        <v>353</v>
      </c>
      <c r="I63" s="9" t="n">
        <v>4</v>
      </c>
      <c r="J63" s="10" t="n">
        <v>5.666666666666667</v>
      </c>
      <c r="K63" s="10">
        <f>IFERROR(J63/30,0)</f>
        <v/>
      </c>
      <c r="L63" s="9" t="n">
        <v>0</v>
      </c>
      <c r="M63" s="11" t="n">
        <v>1</v>
      </c>
      <c r="N63" s="9" t="n">
        <v>0</v>
      </c>
      <c r="O63" s="9" t="n">
        <v>1</v>
      </c>
      <c r="P63" s="9" t="n">
        <v>0</v>
      </c>
      <c r="Q63" s="12" t="n">
        <v>0</v>
      </c>
      <c r="R63" s="12" t="n">
        <v>0</v>
      </c>
      <c r="S63" s="9">
        <f>H63+Q63-R63</f>
        <v/>
      </c>
      <c r="T63" s="12" t="n">
        <v>14</v>
      </c>
      <c r="U63" s="12" t="n">
        <v>7</v>
      </c>
      <c r="V63" s="12" t="n">
        <v>7</v>
      </c>
      <c r="W63" s="10">
        <f>K63*(T63+U63)</f>
        <v/>
      </c>
      <c r="X63" s="10">
        <f>K63*(T63+U63+V63)</f>
        <v/>
      </c>
      <c r="Y63" s="10">
        <f>IF(K63&gt;0,H63/K63,99999)</f>
        <v/>
      </c>
      <c r="Z63" s="8">
        <f>IF(AND(OR(L63&gt;=1,M63&lt;0.95),Y63&gt;120),"DATA CONFLICT - VERIFY",IF(OR(L63&gt;=1,M63&lt;0.95,Y63&lt;=14),"SERVICE / STOCKOUT REVIEW",IF(Y63&gt;120,"OVERSTOCK REVIEW",IF(S63&lt;=W63,"REPLENISHMENT REVIEW","NORMAL MONITORING"))))</f>
        <v/>
      </c>
      <c r="AA63" s="9">
        <f>IF(OR(Z63="DATA CONFLICT - VERIFY",Z63="SERVICE / STOCKOUT REVIEW"),0,IF(S63&lt;=W63,MAX(0,ROUNDUP(X63-S63,0)),0))</f>
        <v/>
      </c>
      <c r="AB63" s="8">
        <f>IF(Z63="DATA CONFLICT - VERIFY","P1 - DATA CONFLICT",IF(Z63="SERVICE / STOCKOUT REVIEW","P1 - SERVICE",IF(Z63="OVERSTOCK REVIEW","P2 - OVERSTOCK",IF(Z63="REPLENISHMENT REVIEW","P2 - REPLENISH","P3 - MONITOR"))))</f>
        <v/>
      </c>
      <c r="AC63" s="10" t="n">
        <v>2719.395</v>
      </c>
      <c r="AD63" s="10" t="n">
        <v>2583.42525</v>
      </c>
      <c r="AE63" s="10">
        <f>IF(OR(AD63="",H63=""),"",H63*AD63)</f>
        <v/>
      </c>
    </row>
    <row r="64">
      <c r="A64" s="13" t="inlineStr">
        <is>
          <t>2022-12-31</t>
        </is>
      </c>
      <c r="B64" s="13" t="n">
        <v>1810</v>
      </c>
      <c r="C64" s="14" t="inlineStr">
        <is>
          <t>SaigonCore YY-05</t>
        </is>
      </c>
      <c r="D64" s="14" t="inlineStr">
        <is>
          <t>GenZ</t>
        </is>
      </c>
      <c r="E64" s="13" t="inlineStr">
        <is>
          <t>Trendy</t>
        </is>
      </c>
      <c r="F64" s="13" t="inlineStr">
        <is>
          <t>L</t>
        </is>
      </c>
      <c r="G64" s="13" t="inlineStr">
        <is>
          <t>red</t>
        </is>
      </c>
      <c r="H64" s="15" t="n">
        <v>36</v>
      </c>
      <c r="I64" s="15" t="n">
        <v>3</v>
      </c>
      <c r="J64" s="16" t="n">
        <v>4</v>
      </c>
      <c r="K64" s="16">
        <f>IFERROR(J64/30,0)</f>
        <v/>
      </c>
      <c r="L64" s="15" t="n">
        <v>2</v>
      </c>
      <c r="M64" s="17" t="n">
        <v>0.9333</v>
      </c>
      <c r="N64" s="15" t="n">
        <v>1</v>
      </c>
      <c r="O64" s="15" t="n">
        <v>1</v>
      </c>
      <c r="P64" s="15" t="n">
        <v>0</v>
      </c>
      <c r="Q64" s="12" t="n">
        <v>0</v>
      </c>
      <c r="R64" s="12" t="n">
        <v>0</v>
      </c>
      <c r="S64" s="15">
        <f>H64+Q64-R64</f>
        <v/>
      </c>
      <c r="T64" s="12" t="n">
        <v>14</v>
      </c>
      <c r="U64" s="12" t="n">
        <v>7</v>
      </c>
      <c r="V64" s="12" t="n">
        <v>7</v>
      </c>
      <c r="W64" s="16">
        <f>K64*(T64+U64)</f>
        <v/>
      </c>
      <c r="X64" s="16">
        <f>K64*(T64+U64+V64)</f>
        <v/>
      </c>
      <c r="Y64" s="16">
        <f>IF(K64&gt;0,H64/K64,99999)</f>
        <v/>
      </c>
      <c r="Z64" s="14">
        <f>IF(AND(OR(L64&gt;=1,M64&lt;0.95),Y64&gt;120),"DATA CONFLICT - VERIFY",IF(OR(L64&gt;=1,M64&lt;0.95,Y64&lt;=14),"SERVICE / STOCKOUT REVIEW",IF(Y64&gt;120,"OVERSTOCK REVIEW",IF(S64&lt;=W64,"REPLENISHMENT REVIEW","NORMAL MONITORING"))))</f>
        <v/>
      </c>
      <c r="AA64" s="15">
        <f>IF(OR(Z64="DATA CONFLICT - VERIFY",Z64="SERVICE / STOCKOUT REVIEW"),0,IF(S64&lt;=W64,MAX(0,ROUNDUP(X64-S64,0)),0))</f>
        <v/>
      </c>
      <c r="AB64" s="14">
        <f>IF(Z64="DATA CONFLICT - VERIFY","P1 - DATA CONFLICT",IF(Z64="SERVICE / STOCKOUT REVIEW","P1 - SERVICE",IF(Z64="OVERSTOCK REVIEW","P2 - OVERSTOCK",IF(Z64="REPLENISHMENT REVIEW","P2 - REPLENISH","P3 - MONITOR"))))</f>
        <v/>
      </c>
      <c r="AC64" s="16" t="n">
        <v>3308.536666666666</v>
      </c>
      <c r="AD64" s="16" t="n">
        <v>1751.539311333333</v>
      </c>
      <c r="AE64" s="16">
        <f>IF(OR(AD64="",H64=""),"",H64*AD64)</f>
        <v/>
      </c>
    </row>
    <row r="65">
      <c r="A65" s="7" t="inlineStr">
        <is>
          <t>2022-12-31</t>
        </is>
      </c>
      <c r="B65" s="7" t="n">
        <v>1813</v>
      </c>
      <c r="C65" s="8" t="inlineStr">
        <is>
          <t>SaigonCore YY-08</t>
        </is>
      </c>
      <c r="D65" s="8" t="inlineStr">
        <is>
          <t>GenZ</t>
        </is>
      </c>
      <c r="E65" s="7" t="inlineStr">
        <is>
          <t>Trendy</t>
        </is>
      </c>
      <c r="F65" s="7" t="inlineStr">
        <is>
          <t>M</t>
        </is>
      </c>
      <c r="G65" s="7" t="inlineStr">
        <is>
          <t>blue</t>
        </is>
      </c>
      <c r="H65" s="9" t="n">
        <v>12</v>
      </c>
      <c r="I65" s="9" t="n">
        <v>3</v>
      </c>
      <c r="J65" s="10" t="n">
        <v>1.666666666666667</v>
      </c>
      <c r="K65" s="10">
        <f>IFERROR(J65/30,0)</f>
        <v/>
      </c>
      <c r="L65" s="9" t="n">
        <v>1</v>
      </c>
      <c r="M65" s="11" t="n">
        <v>0.9667</v>
      </c>
      <c r="N65" s="9" t="n">
        <v>1</v>
      </c>
      <c r="O65" s="9" t="n">
        <v>1</v>
      </c>
      <c r="P65" s="9" t="n">
        <v>0</v>
      </c>
      <c r="Q65" s="12" t="n">
        <v>0</v>
      </c>
      <c r="R65" s="12" t="n">
        <v>0</v>
      </c>
      <c r="S65" s="9">
        <f>H65+Q65-R65</f>
        <v/>
      </c>
      <c r="T65" s="12" t="n">
        <v>14</v>
      </c>
      <c r="U65" s="12" t="n">
        <v>7</v>
      </c>
      <c r="V65" s="12" t="n">
        <v>7</v>
      </c>
      <c r="W65" s="10">
        <f>K65*(T65+U65)</f>
        <v/>
      </c>
      <c r="X65" s="10">
        <f>K65*(T65+U65+V65)</f>
        <v/>
      </c>
      <c r="Y65" s="10">
        <f>IF(K65&gt;0,H65/K65,99999)</f>
        <v/>
      </c>
      <c r="Z65" s="8">
        <f>IF(AND(OR(L65&gt;=1,M65&lt;0.95),Y65&gt;120),"DATA CONFLICT - VERIFY",IF(OR(L65&gt;=1,M65&lt;0.95,Y65&lt;=14),"SERVICE / STOCKOUT REVIEW",IF(Y65&gt;120,"OVERSTOCK REVIEW",IF(S65&lt;=W65,"REPLENISHMENT REVIEW","NORMAL MONITORING"))))</f>
        <v/>
      </c>
      <c r="AA65" s="9">
        <f>IF(OR(Z65="DATA CONFLICT - VERIFY",Z65="SERVICE / STOCKOUT REVIEW"),0,IF(S65&lt;=W65,MAX(0,ROUNDUP(X65-S65,0)),0))</f>
        <v/>
      </c>
      <c r="AB65" s="8">
        <f>IF(Z65="DATA CONFLICT - VERIFY","P1 - DATA CONFLICT",IF(Z65="SERVICE / STOCKOUT REVIEW","P1 - SERVICE",IF(Z65="OVERSTOCK REVIEW","P2 - OVERSTOCK",IF(Z65="REPLENISHMENT REVIEW","P2 - REPLENISH","P3 - MONITOR"))))</f>
        <v/>
      </c>
      <c r="AC65" s="10" t="n">
        <v>1700.37</v>
      </c>
      <c r="AD65" s="10" t="n">
        <v>905.2769879999998</v>
      </c>
      <c r="AE65" s="10">
        <f>IF(OR(AD65="",H65=""),"",H65*AD65)</f>
        <v/>
      </c>
    </row>
    <row r="66">
      <c r="A66" s="13" t="inlineStr">
        <is>
          <t>2022-12-31</t>
        </is>
      </c>
      <c r="B66" s="13" t="n">
        <v>1821</v>
      </c>
      <c r="C66" s="14" t="inlineStr">
        <is>
          <t>SaigonCore YY-16</t>
        </is>
      </c>
      <c r="D66" s="14" t="inlineStr">
        <is>
          <t>GenZ</t>
        </is>
      </c>
      <c r="E66" s="13" t="inlineStr">
        <is>
          <t>Trendy</t>
        </is>
      </c>
      <c r="F66" s="13" t="inlineStr">
        <is>
          <t>M</t>
        </is>
      </c>
      <c r="G66" s="13" t="inlineStr">
        <is>
          <t>black</t>
        </is>
      </c>
      <c r="H66" s="15" t="n">
        <v>6</v>
      </c>
      <c r="I66" s="15" t="n">
        <v>3</v>
      </c>
      <c r="J66" s="16" t="n">
        <v>3.333333333333333</v>
      </c>
      <c r="K66" s="16">
        <f>IFERROR(J66/30,0)</f>
        <v/>
      </c>
      <c r="L66" s="15" t="n">
        <v>0</v>
      </c>
      <c r="M66" s="17" t="n">
        <v>1</v>
      </c>
      <c r="N66" s="15" t="n">
        <v>0</v>
      </c>
      <c r="O66" s="15" t="n">
        <v>0</v>
      </c>
      <c r="P66" s="15" t="n">
        <v>0</v>
      </c>
      <c r="Q66" s="12" t="n">
        <v>0</v>
      </c>
      <c r="R66" s="12" t="n">
        <v>0</v>
      </c>
      <c r="S66" s="15">
        <f>H66+Q66-R66</f>
        <v/>
      </c>
      <c r="T66" s="12" t="n">
        <v>14</v>
      </c>
      <c r="U66" s="12" t="n">
        <v>7</v>
      </c>
      <c r="V66" s="12" t="n">
        <v>7</v>
      </c>
      <c r="W66" s="16">
        <f>K66*(T66+U66)</f>
        <v/>
      </c>
      <c r="X66" s="16">
        <f>K66*(T66+U66+V66)</f>
        <v/>
      </c>
      <c r="Y66" s="16">
        <f>IF(K66&gt;0,H66/K66,99999)</f>
        <v/>
      </c>
      <c r="Z66" s="14">
        <f>IF(AND(OR(L66&gt;=1,M66&lt;0.95),Y66&gt;120),"DATA CONFLICT - VERIFY",IF(OR(L66&gt;=1,M66&lt;0.95,Y66&lt;=14),"SERVICE / STOCKOUT REVIEW",IF(Y66&gt;120,"OVERSTOCK REVIEW",IF(S66&lt;=W66,"REPLENISHMENT REVIEW","NORMAL MONITORING"))))</f>
        <v/>
      </c>
      <c r="AA66" s="15">
        <f>IF(OR(Z66="DATA CONFLICT - VERIFY",Z66="SERVICE / STOCKOUT REVIEW"),0,IF(S66&lt;=W66,MAX(0,ROUNDUP(X66-S66,0)),0))</f>
        <v/>
      </c>
      <c r="AB66" s="14">
        <f>IF(Z66="DATA CONFLICT - VERIFY","P1 - DATA CONFLICT",IF(Z66="SERVICE / STOCKOUT REVIEW","P1 - SERVICE",IF(Z66="OVERSTOCK REVIEW","P2 - OVERSTOCK",IF(Z66="REPLENISHMENT REVIEW","P2 - REPLENISH","P3 - MONITOR"))))</f>
        <v/>
      </c>
      <c r="AC66" s="16" t="n">
        <v>3791.745</v>
      </c>
      <c r="AD66" s="16" t="n">
        <v>3602.15775</v>
      </c>
      <c r="AE66" s="16">
        <f>IF(OR(AD66="",H66=""),"",H66*AD66)</f>
        <v/>
      </c>
    </row>
    <row r="67">
      <c r="A67" s="7" t="inlineStr">
        <is>
          <t>2022-12-31</t>
        </is>
      </c>
      <c r="B67" s="7" t="n">
        <v>1826</v>
      </c>
      <c r="C67" s="8" t="inlineStr">
        <is>
          <t>SaigonCore YY-21</t>
        </is>
      </c>
      <c r="D67" s="8" t="inlineStr">
        <is>
          <t>GenZ</t>
        </is>
      </c>
      <c r="E67" s="7" t="inlineStr">
        <is>
          <t>Trendy</t>
        </is>
      </c>
      <c r="F67" s="7" t="inlineStr">
        <is>
          <t>L</t>
        </is>
      </c>
      <c r="G67" s="7" t="inlineStr">
        <is>
          <t>green</t>
        </is>
      </c>
      <c r="H67" s="9" t="n">
        <v>45</v>
      </c>
      <c r="I67" s="9" t="n">
        <v>1</v>
      </c>
      <c r="J67" s="10" t="n">
        <v>1.333333333333333</v>
      </c>
      <c r="K67" s="10">
        <f>IFERROR(J67/30,0)</f>
        <v/>
      </c>
      <c r="L67" s="9" t="n">
        <v>1</v>
      </c>
      <c r="M67" s="11" t="n">
        <v>0.9667</v>
      </c>
      <c r="N67" s="9" t="n">
        <v>1</v>
      </c>
      <c r="O67" s="9" t="n">
        <v>1</v>
      </c>
      <c r="P67" s="9" t="n">
        <v>0</v>
      </c>
      <c r="Q67" s="12" t="n">
        <v>0</v>
      </c>
      <c r="R67" s="12" t="n">
        <v>0</v>
      </c>
      <c r="S67" s="9">
        <f>H67+Q67-R67</f>
        <v/>
      </c>
      <c r="T67" s="12" t="n">
        <v>14</v>
      </c>
      <c r="U67" s="12" t="n">
        <v>7</v>
      </c>
      <c r="V67" s="12" t="n">
        <v>7</v>
      </c>
      <c r="W67" s="10">
        <f>K67*(T67+U67)</f>
        <v/>
      </c>
      <c r="X67" s="10">
        <f>K67*(T67+U67+V67)</f>
        <v/>
      </c>
      <c r="Y67" s="10">
        <f>IF(K67&gt;0,H67/K67,99999)</f>
        <v/>
      </c>
      <c r="Z67" s="8">
        <f>IF(AND(OR(L67&gt;=1,M67&lt;0.95),Y67&gt;120),"DATA CONFLICT - VERIFY",IF(OR(L67&gt;=1,M67&lt;0.95,Y67&lt;=14),"SERVICE / STOCKOUT REVIEW",IF(Y67&gt;120,"OVERSTOCK REVIEW",IF(S67&lt;=W67,"REPLENISHMENT REVIEW","NORMAL MONITORING"))))</f>
        <v/>
      </c>
      <c r="AA67" s="9">
        <f>IF(OR(Z67="DATA CONFLICT - VERIFY",Z67="SERVICE / STOCKOUT REVIEW"),0,IF(S67&lt;=W67,MAX(0,ROUNDUP(X67-S67,0)),0))</f>
        <v/>
      </c>
      <c r="AB67" s="8">
        <f>IF(Z67="DATA CONFLICT - VERIFY","P1 - DATA CONFLICT",IF(Z67="SERVICE / STOCKOUT REVIEW","P1 - SERVICE",IF(Z67="OVERSTOCK REVIEW","P2 - OVERSTOCK",IF(Z67="REPLENISHMENT REVIEW","P2 - REPLENISH","P3 - MONITOR"))))</f>
        <v/>
      </c>
      <c r="AC67" s="10" t="n">
        <v>2652.657917737789</v>
      </c>
      <c r="AD67" s="10" t="n">
        <v>2520.0250218509</v>
      </c>
      <c r="AE67" s="10">
        <f>IF(OR(AD67="",H67=""),"",H67*AD67)</f>
        <v/>
      </c>
    </row>
    <row r="68">
      <c r="A68" s="13" t="inlineStr">
        <is>
          <t>2022-12-31</t>
        </is>
      </c>
      <c r="B68" s="13" t="n">
        <v>1828</v>
      </c>
      <c r="C68" s="14" t="inlineStr">
        <is>
          <t>SaigonCore YY-23</t>
        </is>
      </c>
      <c r="D68" s="14" t="inlineStr">
        <is>
          <t>GenZ</t>
        </is>
      </c>
      <c r="E68" s="13" t="inlineStr">
        <is>
          <t>Trendy</t>
        </is>
      </c>
      <c r="F68" s="13" t="inlineStr">
        <is>
          <t>S</t>
        </is>
      </c>
      <c r="G68" s="13" t="inlineStr">
        <is>
          <t>pink</t>
        </is>
      </c>
      <c r="H68" s="15" t="n">
        <v>5</v>
      </c>
      <c r="I68" s="15" t="n">
        <v>1</v>
      </c>
      <c r="J68" s="16" t="n">
        <v>1</v>
      </c>
      <c r="K68" s="16">
        <f>IFERROR(J68/30,0)</f>
        <v/>
      </c>
      <c r="L68" s="15" t="n">
        <v>0</v>
      </c>
      <c r="M68" s="17" t="n">
        <v>1</v>
      </c>
      <c r="N68" s="15" t="n">
        <v>0</v>
      </c>
      <c r="O68" s="15" t="n">
        <v>1</v>
      </c>
      <c r="P68" s="15" t="n">
        <v>0</v>
      </c>
      <c r="Q68" s="12" t="n">
        <v>0</v>
      </c>
      <c r="R68" s="12" t="n">
        <v>0</v>
      </c>
      <c r="S68" s="15">
        <f>H68+Q68-R68</f>
        <v/>
      </c>
      <c r="T68" s="12" t="n">
        <v>14</v>
      </c>
      <c r="U68" s="12" t="n">
        <v>7</v>
      </c>
      <c r="V68" s="12" t="n">
        <v>7</v>
      </c>
      <c r="W68" s="16">
        <f>K68*(T68+U68)</f>
        <v/>
      </c>
      <c r="X68" s="16">
        <f>K68*(T68+U68+V68)</f>
        <v/>
      </c>
      <c r="Y68" s="16">
        <f>IF(K68&gt;0,H68/K68,99999)</f>
        <v/>
      </c>
      <c r="Z68" s="14">
        <f>IF(AND(OR(L68&gt;=1,M68&lt;0.95),Y68&gt;120),"DATA CONFLICT - VERIFY",IF(OR(L68&gt;=1,M68&lt;0.95,Y68&lt;=14),"SERVICE / STOCKOUT REVIEW",IF(Y68&gt;120,"OVERSTOCK REVIEW",IF(S68&lt;=W68,"REPLENISHMENT REVIEW","NORMAL MONITORING"))))</f>
        <v/>
      </c>
      <c r="AA68" s="15">
        <f>IF(OR(Z68="DATA CONFLICT - VERIFY",Z68="SERVICE / STOCKOUT REVIEW"),0,IF(S68&lt;=W68,MAX(0,ROUNDUP(X68-S68,0)),0))</f>
        <v/>
      </c>
      <c r="AB68" s="14">
        <f>IF(Z68="DATA CONFLICT - VERIFY","P1 - DATA CONFLICT",IF(Z68="SERVICE / STOCKOUT REVIEW","P1 - SERVICE",IF(Z68="OVERSTOCK REVIEW","P2 - OVERSTOCK",IF(Z68="REPLENISHMENT REVIEW","P2 - REPLENISH","P3 - MONITOR"))))</f>
        <v/>
      </c>
      <c r="AC68" s="16" t="n">
        <v>3471.435420560747</v>
      </c>
      <c r="AD68" s="16" t="n">
        <v>3117.349007663552</v>
      </c>
      <c r="AE68" s="16">
        <f>IF(OR(AD68="",H68=""),"",H68*AD68)</f>
        <v/>
      </c>
    </row>
    <row r="69">
      <c r="A69" s="7" t="inlineStr">
        <is>
          <t>2022-12-31</t>
        </is>
      </c>
      <c r="B69" s="7" t="n">
        <v>1830</v>
      </c>
      <c r="C69" s="8" t="inlineStr">
        <is>
          <t>SaigonCore YY-25</t>
        </is>
      </c>
      <c r="D69" s="8" t="inlineStr">
        <is>
          <t>GenZ</t>
        </is>
      </c>
      <c r="E69" s="7" t="inlineStr">
        <is>
          <t>Trendy</t>
        </is>
      </c>
      <c r="F69" s="7" t="inlineStr">
        <is>
          <t>L</t>
        </is>
      </c>
      <c r="G69" s="7" t="inlineStr">
        <is>
          <t>red</t>
        </is>
      </c>
      <c r="H69" s="9" t="n">
        <v>149</v>
      </c>
      <c r="I69" s="9" t="n">
        <v>1</v>
      </c>
      <c r="J69" s="10" t="n">
        <v>2.666666666666667</v>
      </c>
      <c r="K69" s="10">
        <f>IFERROR(J69/30,0)</f>
        <v/>
      </c>
      <c r="L69" s="9" t="n">
        <v>0</v>
      </c>
      <c r="M69" s="11" t="n">
        <v>1</v>
      </c>
      <c r="N69" s="9" t="n">
        <v>0</v>
      </c>
      <c r="O69" s="9" t="n">
        <v>1</v>
      </c>
      <c r="P69" s="9" t="n">
        <v>0</v>
      </c>
      <c r="Q69" s="12" t="n">
        <v>0</v>
      </c>
      <c r="R69" s="12" t="n">
        <v>0</v>
      </c>
      <c r="S69" s="9">
        <f>H69+Q69-R69</f>
        <v/>
      </c>
      <c r="T69" s="12" t="n">
        <v>14</v>
      </c>
      <c r="U69" s="12" t="n">
        <v>7</v>
      </c>
      <c r="V69" s="12" t="n">
        <v>7</v>
      </c>
      <c r="W69" s="10">
        <f>K69*(T69+U69)</f>
        <v/>
      </c>
      <c r="X69" s="10">
        <f>K69*(T69+U69+V69)</f>
        <v/>
      </c>
      <c r="Y69" s="10">
        <f>IF(K69&gt;0,H69/K69,99999)</f>
        <v/>
      </c>
      <c r="Z69" s="8">
        <f>IF(AND(OR(L69&gt;=1,M69&lt;0.95),Y69&gt;120),"DATA CONFLICT - VERIFY",IF(OR(L69&gt;=1,M69&lt;0.95,Y69&lt;=14),"SERVICE / STOCKOUT REVIEW",IF(Y69&gt;120,"OVERSTOCK REVIEW",IF(S69&lt;=W69,"REPLENISHMENT REVIEW","NORMAL MONITORING"))))</f>
        <v/>
      </c>
      <c r="AA69" s="9">
        <f>IF(OR(Z69="DATA CONFLICT - VERIFY",Z69="SERVICE / STOCKOUT REVIEW"),0,IF(S69&lt;=W69,MAX(0,ROUNDUP(X69-S69,0)),0))</f>
        <v/>
      </c>
      <c r="AB69" s="8">
        <f>IF(Z69="DATA CONFLICT - VERIFY","P1 - DATA CONFLICT",IF(Z69="SERVICE / STOCKOUT REVIEW","P1 - SERVICE",IF(Z69="OVERSTOCK REVIEW","P2 - OVERSTOCK",IF(Z69="REPLENISHMENT REVIEW","P2 - REPLENISH","P3 - MONITOR"))))</f>
        <v/>
      </c>
      <c r="AC69" s="10" t="n">
        <v>3707.157735849056</v>
      </c>
      <c r="AD69" s="10" t="n">
        <v>2126.054961509434</v>
      </c>
      <c r="AE69" s="10">
        <f>IF(OR(AD69="",H69=""),"",H69*AD69)</f>
        <v/>
      </c>
    </row>
    <row r="70">
      <c r="A70" s="13" t="inlineStr">
        <is>
          <t>2022-12-31</t>
        </is>
      </c>
      <c r="B70" s="13" t="n">
        <v>1832</v>
      </c>
      <c r="C70" s="14" t="inlineStr">
        <is>
          <t>SaigonCore YY-27</t>
        </is>
      </c>
      <c r="D70" s="14" t="inlineStr">
        <is>
          <t>GenZ</t>
        </is>
      </c>
      <c r="E70" s="13" t="inlineStr">
        <is>
          <t>Trendy</t>
        </is>
      </c>
      <c r="F70" s="13" t="inlineStr">
        <is>
          <t>S</t>
        </is>
      </c>
      <c r="G70" s="13" t="inlineStr">
        <is>
          <t>orange</t>
        </is>
      </c>
      <c r="H70" s="15" t="n">
        <v>12</v>
      </c>
      <c r="I70" s="15" t="n">
        <v>2</v>
      </c>
      <c r="J70" s="16" t="n">
        <v>3.333333333333333</v>
      </c>
      <c r="K70" s="16">
        <f>IFERROR(J70/30,0)</f>
        <v/>
      </c>
      <c r="L70" s="15" t="n">
        <v>0</v>
      </c>
      <c r="M70" s="17" t="n">
        <v>1</v>
      </c>
      <c r="N70" s="15" t="n">
        <v>0</v>
      </c>
      <c r="O70" s="15" t="n">
        <v>1</v>
      </c>
      <c r="P70" s="15" t="n">
        <v>0</v>
      </c>
      <c r="Q70" s="12" t="n">
        <v>0</v>
      </c>
      <c r="R70" s="12" t="n">
        <v>0</v>
      </c>
      <c r="S70" s="15">
        <f>H70+Q70-R70</f>
        <v/>
      </c>
      <c r="T70" s="12" t="n">
        <v>14</v>
      </c>
      <c r="U70" s="12" t="n">
        <v>7</v>
      </c>
      <c r="V70" s="12" t="n">
        <v>7</v>
      </c>
      <c r="W70" s="16">
        <f>K70*(T70+U70)</f>
        <v/>
      </c>
      <c r="X70" s="16">
        <f>K70*(T70+U70+V70)</f>
        <v/>
      </c>
      <c r="Y70" s="16">
        <f>IF(K70&gt;0,H70/K70,99999)</f>
        <v/>
      </c>
      <c r="Z70" s="14">
        <f>IF(AND(OR(L70&gt;=1,M70&lt;0.95),Y70&gt;120),"DATA CONFLICT - VERIFY",IF(OR(L70&gt;=1,M70&lt;0.95,Y70&lt;=14),"SERVICE / STOCKOUT REVIEW",IF(Y70&gt;120,"OVERSTOCK REVIEW",IF(S70&lt;=W70,"REPLENISHMENT REVIEW","NORMAL MONITORING"))))</f>
        <v/>
      </c>
      <c r="AA70" s="15">
        <f>IF(OR(Z70="DATA CONFLICT - VERIFY",Z70="SERVICE / STOCKOUT REVIEW"),0,IF(S70&lt;=W70,MAX(0,ROUNDUP(X70-S70,0)),0))</f>
        <v/>
      </c>
      <c r="AB70" s="14">
        <f>IF(Z70="DATA CONFLICT - VERIFY","P1 - DATA CONFLICT",IF(Z70="SERVICE / STOCKOUT REVIEW","P1 - SERVICE",IF(Z70="OVERSTOCK REVIEW","P2 - OVERSTOCK",IF(Z70="REPLENISHMENT REVIEW","P2 - REPLENISH","P3 - MONITOR"))))</f>
        <v/>
      </c>
      <c r="AC70" s="16" t="n">
        <v>4371.085384615384</v>
      </c>
      <c r="AD70" s="16" t="n">
        <v>3285.307775076923</v>
      </c>
      <c r="AE70" s="16">
        <f>IF(OR(AD70="",H70=""),"",H70*AD70)</f>
        <v/>
      </c>
    </row>
    <row r="71">
      <c r="A71" s="7" t="inlineStr">
        <is>
          <t>2022-12-31</t>
        </is>
      </c>
      <c r="B71" s="7" t="n">
        <v>1843</v>
      </c>
      <c r="C71" s="8" t="inlineStr">
        <is>
          <t>SaigonCore YY-38</t>
        </is>
      </c>
      <c r="D71" s="8" t="inlineStr">
        <is>
          <t>GenZ</t>
        </is>
      </c>
      <c r="E71" s="7" t="inlineStr">
        <is>
          <t>Trendy</t>
        </is>
      </c>
      <c r="F71" s="7" t="inlineStr">
        <is>
          <t>XL</t>
        </is>
      </c>
      <c r="G71" s="7" t="inlineStr">
        <is>
          <t>blue</t>
        </is>
      </c>
      <c r="H71" s="9" t="n">
        <v>9</v>
      </c>
      <c r="I71" s="9" t="n">
        <v>1</v>
      </c>
      <c r="J71" s="10" t="n">
        <v>2</v>
      </c>
      <c r="K71" s="10">
        <f>IFERROR(J71/30,0)</f>
        <v/>
      </c>
      <c r="L71" s="9" t="n">
        <v>0</v>
      </c>
      <c r="M71" s="11" t="n">
        <v>1</v>
      </c>
      <c r="N71" s="9" t="n">
        <v>0</v>
      </c>
      <c r="O71" s="9" t="n">
        <v>1</v>
      </c>
      <c r="P71" s="9" t="n">
        <v>0</v>
      </c>
      <c r="Q71" s="12" t="n">
        <v>0</v>
      </c>
      <c r="R71" s="12" t="n">
        <v>0</v>
      </c>
      <c r="S71" s="9">
        <f>H71+Q71-R71</f>
        <v/>
      </c>
      <c r="T71" s="12" t="n">
        <v>14</v>
      </c>
      <c r="U71" s="12" t="n">
        <v>7</v>
      </c>
      <c r="V71" s="12" t="n">
        <v>7</v>
      </c>
      <c r="W71" s="10">
        <f>K71*(T71+U71)</f>
        <v/>
      </c>
      <c r="X71" s="10">
        <f>K71*(T71+U71+V71)</f>
        <v/>
      </c>
      <c r="Y71" s="10">
        <f>IF(K71&gt;0,H71/K71,99999)</f>
        <v/>
      </c>
      <c r="Z71" s="8">
        <f>IF(AND(OR(L71&gt;=1,M71&lt;0.95),Y71&gt;120),"DATA CONFLICT - VERIFY",IF(OR(L71&gt;=1,M71&lt;0.95,Y71&lt;=14),"SERVICE / STOCKOUT REVIEW",IF(Y71&gt;120,"OVERSTOCK REVIEW",IF(S71&lt;=W71,"REPLENISHMENT REVIEW","NORMAL MONITORING"))))</f>
        <v/>
      </c>
      <c r="AA71" s="9">
        <f>IF(OR(Z71="DATA CONFLICT - VERIFY",Z71="SERVICE / STOCKOUT REVIEW"),0,IF(S71&lt;=W71,MAX(0,ROUNDUP(X71-S71,0)),0))</f>
        <v/>
      </c>
      <c r="AB71" s="8">
        <f>IF(Z71="DATA CONFLICT - VERIFY","P1 - DATA CONFLICT",IF(Z71="SERVICE / STOCKOUT REVIEW","P1 - SERVICE",IF(Z71="OVERSTOCK REVIEW","P2 - OVERSTOCK",IF(Z71="REPLENISHMENT REVIEW","P2 - REPLENISH","P3 - MONITOR"))))</f>
        <v/>
      </c>
      <c r="AC71" s="10" t="n">
        <v>1704.791052631579</v>
      </c>
      <c r="AD71" s="10" t="n">
        <v>1064.982970578947</v>
      </c>
      <c r="AE71" s="10">
        <f>IF(OR(AD71="",H71=""),"",H71*AD71)</f>
        <v/>
      </c>
    </row>
    <row r="72">
      <c r="A72" s="13" t="inlineStr">
        <is>
          <t>2022-12-31</t>
        </is>
      </c>
      <c r="B72" s="13" t="n">
        <v>1844</v>
      </c>
      <c r="C72" s="14" t="inlineStr">
        <is>
          <t>SaigonCore YY-39</t>
        </is>
      </c>
      <c r="D72" s="14" t="inlineStr">
        <is>
          <t>GenZ</t>
        </is>
      </c>
      <c r="E72" s="13" t="inlineStr">
        <is>
          <t>Trendy</t>
        </is>
      </c>
      <c r="F72" s="13" t="inlineStr">
        <is>
          <t>S</t>
        </is>
      </c>
      <c r="G72" s="13" t="inlineStr">
        <is>
          <t>white</t>
        </is>
      </c>
      <c r="H72" s="15" t="n">
        <v>10</v>
      </c>
      <c r="I72" s="15" t="n">
        <v>1</v>
      </c>
      <c r="J72" s="16" t="n">
        <v>1</v>
      </c>
      <c r="K72" s="16">
        <f>IFERROR(J72/30,0)</f>
        <v/>
      </c>
      <c r="L72" s="15" t="n">
        <v>0</v>
      </c>
      <c r="M72" s="17" t="n">
        <v>1</v>
      </c>
      <c r="N72" s="15" t="n">
        <v>0</v>
      </c>
      <c r="O72" s="15" t="n">
        <v>1</v>
      </c>
      <c r="P72" s="15" t="n">
        <v>0</v>
      </c>
      <c r="Q72" s="12" t="n">
        <v>0</v>
      </c>
      <c r="R72" s="12" t="n">
        <v>0</v>
      </c>
      <c r="S72" s="15">
        <f>H72+Q72-R72</f>
        <v/>
      </c>
      <c r="T72" s="12" t="n">
        <v>14</v>
      </c>
      <c r="U72" s="12" t="n">
        <v>7</v>
      </c>
      <c r="V72" s="12" t="n">
        <v>7</v>
      </c>
      <c r="W72" s="16">
        <f>K72*(T72+U72)</f>
        <v/>
      </c>
      <c r="X72" s="16">
        <f>K72*(T72+U72+V72)</f>
        <v/>
      </c>
      <c r="Y72" s="16">
        <f>IF(K72&gt;0,H72/K72,99999)</f>
        <v/>
      </c>
      <c r="Z72" s="14">
        <f>IF(AND(OR(L72&gt;=1,M72&lt;0.95),Y72&gt;120),"DATA CONFLICT - VERIFY",IF(OR(L72&gt;=1,M72&lt;0.95,Y72&lt;=14),"SERVICE / STOCKOUT REVIEW",IF(Y72&gt;120,"OVERSTOCK REVIEW",IF(S72&lt;=W72,"REPLENISHMENT REVIEW","NORMAL MONITORING"))))</f>
        <v/>
      </c>
      <c r="AA72" s="15">
        <f>IF(OR(Z72="DATA CONFLICT - VERIFY",Z72="SERVICE / STOCKOUT REVIEW"),0,IF(S72&lt;=W72,MAX(0,ROUNDUP(X72-S72,0)),0))</f>
        <v/>
      </c>
      <c r="AB72" s="14">
        <f>IF(Z72="DATA CONFLICT - VERIFY","P1 - DATA CONFLICT",IF(Z72="SERVICE / STOCKOUT REVIEW","P1 - SERVICE",IF(Z72="OVERSTOCK REVIEW","P2 - OVERSTOCK",IF(Z72="REPLENISHMENT REVIEW","P2 - REPLENISH","P3 - MONITOR"))))</f>
        <v/>
      </c>
      <c r="AC72" s="16" t="n">
        <v>2026.103333333333</v>
      </c>
      <c r="AD72" s="16" t="n">
        <v>1822.885169</v>
      </c>
      <c r="AE72" s="16">
        <f>IF(OR(AD72="",H72=""),"",H72*AD72)</f>
        <v/>
      </c>
    </row>
    <row r="73">
      <c r="A73" s="7" t="inlineStr">
        <is>
          <t>2022-12-31</t>
        </is>
      </c>
      <c r="B73" s="7" t="n">
        <v>1845</v>
      </c>
      <c r="C73" s="8" t="inlineStr">
        <is>
          <t>SaigonCore YY-40</t>
        </is>
      </c>
      <c r="D73" s="8" t="inlineStr">
        <is>
          <t>GenZ</t>
        </is>
      </c>
      <c r="E73" s="7" t="inlineStr">
        <is>
          <t>Trendy</t>
        </is>
      </c>
      <c r="F73" s="7" t="inlineStr">
        <is>
          <t>M</t>
        </is>
      </c>
      <c r="G73" s="7" t="inlineStr">
        <is>
          <t>purple</t>
        </is>
      </c>
      <c r="H73" s="9" t="n">
        <v>38</v>
      </c>
      <c r="I73" s="9" t="n">
        <v>3</v>
      </c>
      <c r="J73" s="10" t="n">
        <v>2.333333333333333</v>
      </c>
      <c r="K73" s="10">
        <f>IFERROR(J73/30,0)</f>
        <v/>
      </c>
      <c r="L73" s="9" t="n">
        <v>2</v>
      </c>
      <c r="M73" s="11" t="n">
        <v>0.9333</v>
      </c>
      <c r="N73" s="9" t="n">
        <v>1</v>
      </c>
      <c r="O73" s="9" t="n">
        <v>1</v>
      </c>
      <c r="P73" s="9" t="n">
        <v>0</v>
      </c>
      <c r="Q73" s="12" t="n">
        <v>0</v>
      </c>
      <c r="R73" s="12" t="n">
        <v>0</v>
      </c>
      <c r="S73" s="9">
        <f>H73+Q73-R73</f>
        <v/>
      </c>
      <c r="T73" s="12" t="n">
        <v>14</v>
      </c>
      <c r="U73" s="12" t="n">
        <v>7</v>
      </c>
      <c r="V73" s="12" t="n">
        <v>7</v>
      </c>
      <c r="W73" s="10">
        <f>K73*(T73+U73)</f>
        <v/>
      </c>
      <c r="X73" s="10">
        <f>K73*(T73+U73+V73)</f>
        <v/>
      </c>
      <c r="Y73" s="10">
        <f>IF(K73&gt;0,H73/K73,99999)</f>
        <v/>
      </c>
      <c r="Z73" s="8">
        <f>IF(AND(OR(L73&gt;=1,M73&lt;0.95),Y73&gt;120),"DATA CONFLICT - VERIFY",IF(OR(L73&gt;=1,M73&lt;0.95,Y73&lt;=14),"SERVICE / STOCKOUT REVIEW",IF(Y73&gt;120,"OVERSTOCK REVIEW",IF(S73&lt;=W73,"REPLENISHMENT REVIEW","NORMAL MONITORING"))))</f>
        <v/>
      </c>
      <c r="AA73" s="9">
        <f>IF(OR(Z73="DATA CONFLICT - VERIFY",Z73="SERVICE / STOCKOUT REVIEW"),0,IF(S73&lt;=W73,MAX(0,ROUNDUP(X73-S73,0)),0))</f>
        <v/>
      </c>
      <c r="AB73" s="8">
        <f>IF(Z73="DATA CONFLICT - VERIFY","P1 - DATA CONFLICT",IF(Z73="SERVICE / STOCKOUT REVIEW","P1 - SERVICE",IF(Z73="OVERSTOCK REVIEW","P2 - OVERSTOCK",IF(Z73="REPLENISHMENT REVIEW","P2 - REPLENISH","P3 - MONITOR"))))</f>
        <v/>
      </c>
      <c r="AC73" s="10" t="n">
        <v>1211.145244299674</v>
      </c>
      <c r="AD73" s="10" t="n">
        <v>735.5285068631921</v>
      </c>
      <c r="AE73" s="10">
        <f>IF(OR(AD73="",H73=""),"",H73*AD73)</f>
        <v/>
      </c>
    </row>
    <row r="74">
      <c r="A74" s="13" t="inlineStr">
        <is>
          <t>2022-12-31</t>
        </is>
      </c>
      <c r="B74" s="13" t="n">
        <v>1846</v>
      </c>
      <c r="C74" s="14" t="inlineStr">
        <is>
          <t>SaigonCore YY-41</t>
        </is>
      </c>
      <c r="D74" s="14" t="inlineStr">
        <is>
          <t>GenZ</t>
        </is>
      </c>
      <c r="E74" s="13" t="inlineStr">
        <is>
          <t>Trendy</t>
        </is>
      </c>
      <c r="F74" s="13" t="inlineStr">
        <is>
          <t>L</t>
        </is>
      </c>
      <c r="G74" s="13" t="inlineStr">
        <is>
          <t>green</t>
        </is>
      </c>
      <c r="H74" s="15" t="n">
        <v>27</v>
      </c>
      <c r="I74" s="15" t="n">
        <v>1</v>
      </c>
      <c r="J74" s="16" t="n">
        <v>2</v>
      </c>
      <c r="K74" s="16">
        <f>IFERROR(J74/30,0)</f>
        <v/>
      </c>
      <c r="L74" s="15" t="n">
        <v>0</v>
      </c>
      <c r="M74" s="17" t="n">
        <v>1</v>
      </c>
      <c r="N74" s="15" t="n">
        <v>0</v>
      </c>
      <c r="O74" s="15" t="n">
        <v>1</v>
      </c>
      <c r="P74" s="15" t="n">
        <v>0</v>
      </c>
      <c r="Q74" s="12" t="n">
        <v>0</v>
      </c>
      <c r="R74" s="12" t="n">
        <v>0</v>
      </c>
      <c r="S74" s="15">
        <f>H74+Q74-R74</f>
        <v/>
      </c>
      <c r="T74" s="12" t="n">
        <v>14</v>
      </c>
      <c r="U74" s="12" t="n">
        <v>7</v>
      </c>
      <c r="V74" s="12" t="n">
        <v>7</v>
      </c>
      <c r="W74" s="16">
        <f>K74*(T74+U74)</f>
        <v/>
      </c>
      <c r="X74" s="16">
        <f>K74*(T74+U74+V74)</f>
        <v/>
      </c>
      <c r="Y74" s="16">
        <f>IF(K74&gt;0,H74/K74,99999)</f>
        <v/>
      </c>
      <c r="Z74" s="14">
        <f>IF(AND(OR(L74&gt;=1,M74&lt;0.95),Y74&gt;120),"DATA CONFLICT - VERIFY",IF(OR(L74&gt;=1,M74&lt;0.95,Y74&lt;=14),"SERVICE / STOCKOUT REVIEW",IF(Y74&gt;120,"OVERSTOCK REVIEW",IF(S74&lt;=W74,"REPLENISHMENT REVIEW","NORMAL MONITORING"))))</f>
        <v/>
      </c>
      <c r="AA74" s="15">
        <f>IF(OR(Z74="DATA CONFLICT - VERIFY",Z74="SERVICE / STOCKOUT REVIEW"),0,IF(S74&lt;=W74,MAX(0,ROUNDUP(X74-S74,0)),0))</f>
        <v/>
      </c>
      <c r="AB74" s="14">
        <f>IF(Z74="DATA CONFLICT - VERIFY","P1 - DATA CONFLICT",IF(Z74="SERVICE / STOCKOUT REVIEW","P1 - SERVICE",IF(Z74="OVERSTOCK REVIEW","P2 - OVERSTOCK",IF(Z74="REPLENISHMENT REVIEW","P2 - REPLENISH","P3 - MONITOR"))))</f>
        <v/>
      </c>
      <c r="AC74" s="16" t="n">
        <v>5606.37</v>
      </c>
      <c r="AD74" s="16" t="n">
        <v>3945.763206</v>
      </c>
      <c r="AE74" s="16">
        <f>IF(OR(AD74="",H74=""),"",H74*AD74)</f>
        <v/>
      </c>
    </row>
    <row r="75">
      <c r="A75" s="7" t="inlineStr">
        <is>
          <t>2022-12-31</t>
        </is>
      </c>
      <c r="B75" s="7" t="n">
        <v>1850</v>
      </c>
      <c r="C75" s="8" t="inlineStr">
        <is>
          <t>SaigonCore YY-45</t>
        </is>
      </c>
      <c r="D75" s="8" t="inlineStr">
        <is>
          <t>GenZ</t>
        </is>
      </c>
      <c r="E75" s="7" t="inlineStr">
        <is>
          <t>Trendy</t>
        </is>
      </c>
      <c r="F75" s="7" t="inlineStr">
        <is>
          <t>L</t>
        </is>
      </c>
      <c r="G75" s="7" t="inlineStr">
        <is>
          <t>red</t>
        </is>
      </c>
      <c r="H75" s="9" t="n">
        <v>43</v>
      </c>
      <c r="I75" s="9" t="n">
        <v>4</v>
      </c>
      <c r="J75" s="10" t="n">
        <v>2.333333333333333</v>
      </c>
      <c r="K75" s="10">
        <f>IFERROR(J75/30,0)</f>
        <v/>
      </c>
      <c r="L75" s="9" t="n">
        <v>2</v>
      </c>
      <c r="M75" s="11" t="n">
        <v>0.9333</v>
      </c>
      <c r="N75" s="9" t="n">
        <v>1</v>
      </c>
      <c r="O75" s="9" t="n">
        <v>1</v>
      </c>
      <c r="P75" s="9" t="n">
        <v>0</v>
      </c>
      <c r="Q75" s="12" t="n">
        <v>0</v>
      </c>
      <c r="R75" s="12" t="n">
        <v>0</v>
      </c>
      <c r="S75" s="9">
        <f>H75+Q75-R75</f>
        <v/>
      </c>
      <c r="T75" s="12" t="n">
        <v>14</v>
      </c>
      <c r="U75" s="12" t="n">
        <v>7</v>
      </c>
      <c r="V75" s="12" t="n">
        <v>7</v>
      </c>
      <c r="W75" s="10">
        <f>K75*(T75+U75)</f>
        <v/>
      </c>
      <c r="X75" s="10">
        <f>K75*(T75+U75+V75)</f>
        <v/>
      </c>
      <c r="Y75" s="10">
        <f>IF(K75&gt;0,H75/K75,99999)</f>
        <v/>
      </c>
      <c r="Z75" s="8">
        <f>IF(AND(OR(L75&gt;=1,M75&lt;0.95),Y75&gt;120),"DATA CONFLICT - VERIFY",IF(OR(L75&gt;=1,M75&lt;0.95,Y75&lt;=14),"SERVICE / STOCKOUT REVIEW",IF(Y75&gt;120,"OVERSTOCK REVIEW",IF(S75&lt;=W75,"REPLENISHMENT REVIEW","NORMAL MONITORING"))))</f>
        <v/>
      </c>
      <c r="AA75" s="9">
        <f>IF(OR(Z75="DATA CONFLICT - VERIFY",Z75="SERVICE / STOCKOUT REVIEW"),0,IF(S75&lt;=W75,MAX(0,ROUNDUP(X75-S75,0)),0))</f>
        <v/>
      </c>
      <c r="AB75" s="8">
        <f>IF(Z75="DATA CONFLICT - VERIFY","P1 - DATA CONFLICT",IF(Z75="SERVICE / STOCKOUT REVIEW","P1 - SERVICE",IF(Z75="OVERSTOCK REVIEW","P2 - OVERSTOCK",IF(Z75="REPLENISHMENT REVIEW","P2 - REPLENISH","P3 - MONITOR"))))</f>
        <v/>
      </c>
      <c r="AC75" s="10" t="n">
        <v>1929.010449438202</v>
      </c>
      <c r="AD75" s="10" t="n">
        <v>1460.839613359551</v>
      </c>
      <c r="AE75" s="10">
        <f>IF(OR(AD75="",H75=""),"",H75*AD75)</f>
        <v/>
      </c>
    </row>
    <row r="76">
      <c r="A76" s="13" t="inlineStr">
        <is>
          <t>2022-12-31</t>
        </is>
      </c>
      <c r="B76" s="13" t="n">
        <v>1851</v>
      </c>
      <c r="C76" s="14" t="inlineStr">
        <is>
          <t>SaigonCore YY-46</t>
        </is>
      </c>
      <c r="D76" s="14" t="inlineStr">
        <is>
          <t>GenZ</t>
        </is>
      </c>
      <c r="E76" s="13" t="inlineStr">
        <is>
          <t>Trendy</t>
        </is>
      </c>
      <c r="F76" s="13" t="inlineStr">
        <is>
          <t>XL</t>
        </is>
      </c>
      <c r="G76" s="13" t="inlineStr">
        <is>
          <t>black</t>
        </is>
      </c>
      <c r="H76" s="15" t="n">
        <v>39</v>
      </c>
      <c r="I76" s="15" t="n">
        <v>3</v>
      </c>
      <c r="J76" s="16" t="n">
        <v>2.333333333333333</v>
      </c>
      <c r="K76" s="16">
        <f>IFERROR(J76/30,0)</f>
        <v/>
      </c>
      <c r="L76" s="15" t="n">
        <v>1</v>
      </c>
      <c r="M76" s="17" t="n">
        <v>0.9667</v>
      </c>
      <c r="N76" s="15" t="n">
        <v>1</v>
      </c>
      <c r="O76" s="15" t="n">
        <v>1</v>
      </c>
      <c r="P76" s="15" t="n">
        <v>0</v>
      </c>
      <c r="Q76" s="12" t="n">
        <v>0</v>
      </c>
      <c r="R76" s="12" t="n">
        <v>0</v>
      </c>
      <c r="S76" s="15">
        <f>H76+Q76-R76</f>
        <v/>
      </c>
      <c r="T76" s="12" t="n">
        <v>14</v>
      </c>
      <c r="U76" s="12" t="n">
        <v>7</v>
      </c>
      <c r="V76" s="12" t="n">
        <v>7</v>
      </c>
      <c r="W76" s="16">
        <f>K76*(T76+U76)</f>
        <v/>
      </c>
      <c r="X76" s="16">
        <f>K76*(T76+U76+V76)</f>
        <v/>
      </c>
      <c r="Y76" s="16">
        <f>IF(K76&gt;0,H76/K76,99999)</f>
        <v/>
      </c>
      <c r="Z76" s="14">
        <f>IF(AND(OR(L76&gt;=1,M76&lt;0.95),Y76&gt;120),"DATA CONFLICT - VERIFY",IF(OR(L76&gt;=1,M76&lt;0.95,Y76&lt;=14),"SERVICE / STOCKOUT REVIEW",IF(Y76&gt;120,"OVERSTOCK REVIEW",IF(S76&lt;=W76,"REPLENISHMENT REVIEW","NORMAL MONITORING"))))</f>
        <v/>
      </c>
      <c r="AA76" s="15">
        <f>IF(OR(Z76="DATA CONFLICT - VERIFY",Z76="SERVICE / STOCKOUT REVIEW"),0,IF(S76&lt;=W76,MAX(0,ROUNDUP(X76-S76,0)),0))</f>
        <v/>
      </c>
      <c r="AB76" s="14">
        <f>IF(Z76="DATA CONFLICT - VERIFY","P1 - DATA CONFLICT",IF(Z76="SERVICE / STOCKOUT REVIEW","P1 - SERVICE",IF(Z76="OVERSTOCK REVIEW","P2 - OVERSTOCK",IF(Z76="REPLENISHMENT REVIEW","P2 - REPLENISH","P3 - MONITOR"))))</f>
        <v/>
      </c>
      <c r="AC76" s="16" t="n">
        <v>3909.230724233984</v>
      </c>
      <c r="AD76" s="16" t="n">
        <v>2716.915353342618</v>
      </c>
      <c r="AE76" s="16">
        <f>IF(OR(AD76="",H76=""),"",H76*AD76)</f>
        <v/>
      </c>
    </row>
    <row r="77">
      <c r="A77" s="7" t="inlineStr">
        <is>
          <t>2022-12-31</t>
        </is>
      </c>
      <c r="B77" s="7" t="n">
        <v>1852</v>
      </c>
      <c r="C77" s="8" t="inlineStr">
        <is>
          <t>SaigonCore YY-47</t>
        </is>
      </c>
      <c r="D77" s="8" t="inlineStr">
        <is>
          <t>GenZ</t>
        </is>
      </c>
      <c r="E77" s="7" t="inlineStr">
        <is>
          <t>Trendy</t>
        </is>
      </c>
      <c r="F77" s="7" t="inlineStr">
        <is>
          <t>S</t>
        </is>
      </c>
      <c r="G77" s="7" t="inlineStr">
        <is>
          <t>orange</t>
        </is>
      </c>
      <c r="H77" s="9" t="n">
        <v>121</v>
      </c>
      <c r="I77" s="9" t="n">
        <v>6</v>
      </c>
      <c r="J77" s="10" t="n">
        <v>3.666666666666667</v>
      </c>
      <c r="K77" s="10">
        <f>IFERROR(J77/30,0)</f>
        <v/>
      </c>
      <c r="L77" s="9" t="n">
        <v>2</v>
      </c>
      <c r="M77" s="11" t="n">
        <v>0.9333</v>
      </c>
      <c r="N77" s="9" t="n">
        <v>1</v>
      </c>
      <c r="O77" s="9" t="n">
        <v>1</v>
      </c>
      <c r="P77" s="9" t="n">
        <v>0</v>
      </c>
      <c r="Q77" s="12" t="n">
        <v>0</v>
      </c>
      <c r="R77" s="12" t="n">
        <v>0</v>
      </c>
      <c r="S77" s="9">
        <f>H77+Q77-R77</f>
        <v/>
      </c>
      <c r="T77" s="12" t="n">
        <v>14</v>
      </c>
      <c r="U77" s="12" t="n">
        <v>7</v>
      </c>
      <c r="V77" s="12" t="n">
        <v>7</v>
      </c>
      <c r="W77" s="10">
        <f>K77*(T77+U77)</f>
        <v/>
      </c>
      <c r="X77" s="10">
        <f>K77*(T77+U77+V77)</f>
        <v/>
      </c>
      <c r="Y77" s="10">
        <f>IF(K77&gt;0,H77/K77,99999)</f>
        <v/>
      </c>
      <c r="Z77" s="8">
        <f>IF(AND(OR(L77&gt;=1,M77&lt;0.95),Y77&gt;120),"DATA CONFLICT - VERIFY",IF(OR(L77&gt;=1,M77&lt;0.95,Y77&lt;=14),"SERVICE / STOCKOUT REVIEW",IF(Y77&gt;120,"OVERSTOCK REVIEW",IF(S77&lt;=W77,"REPLENISHMENT REVIEW","NORMAL MONITORING"))))</f>
        <v/>
      </c>
      <c r="AA77" s="9">
        <f>IF(OR(Z77="DATA CONFLICT - VERIFY",Z77="SERVICE / STOCKOUT REVIEW"),0,IF(S77&lt;=W77,MAX(0,ROUNDUP(X77-S77,0)),0))</f>
        <v/>
      </c>
      <c r="AB77" s="8">
        <f>IF(Z77="DATA CONFLICT - VERIFY","P1 - DATA CONFLICT",IF(Z77="SERVICE / STOCKOUT REVIEW","P1 - SERVICE",IF(Z77="OVERSTOCK REVIEW","P2 - OVERSTOCK",IF(Z77="REPLENISHMENT REVIEW","P2 - REPLENISH","P3 - MONITOR"))))</f>
        <v/>
      </c>
      <c r="AC77" s="10" t="n">
        <v>2043.242727272728</v>
      </c>
      <c r="AD77" s="10" t="n">
        <v>1941.080590909091</v>
      </c>
      <c r="AE77" s="10">
        <f>IF(OR(AD77="",H77=""),"",H77*AD77)</f>
        <v/>
      </c>
    </row>
    <row r="78">
      <c r="A78" s="13" t="inlineStr">
        <is>
          <t>2022-12-31</t>
        </is>
      </c>
      <c r="B78" s="13" t="n">
        <v>1855</v>
      </c>
      <c r="C78" s="14" t="inlineStr">
        <is>
          <t>SaigonCore YY-50</t>
        </is>
      </c>
      <c r="D78" s="14" t="inlineStr">
        <is>
          <t>GenZ</t>
        </is>
      </c>
      <c r="E78" s="13" t="inlineStr">
        <is>
          <t>Trendy</t>
        </is>
      </c>
      <c r="F78" s="13" t="inlineStr">
        <is>
          <t>XL</t>
        </is>
      </c>
      <c r="G78" s="13" t="inlineStr">
        <is>
          <t>purple</t>
        </is>
      </c>
      <c r="H78" s="15" t="n">
        <v>22</v>
      </c>
      <c r="I78" s="15" t="n">
        <v>2</v>
      </c>
      <c r="J78" s="16" t="n">
        <v>2.333333333333333</v>
      </c>
      <c r="K78" s="16">
        <f>IFERROR(J78/30,0)</f>
        <v/>
      </c>
      <c r="L78" s="15" t="n">
        <v>2</v>
      </c>
      <c r="M78" s="17" t="n">
        <v>0.9333</v>
      </c>
      <c r="N78" s="15" t="n">
        <v>1</v>
      </c>
      <c r="O78" s="15" t="n">
        <v>1</v>
      </c>
      <c r="P78" s="15" t="n">
        <v>0</v>
      </c>
      <c r="Q78" s="12" t="n">
        <v>0</v>
      </c>
      <c r="R78" s="12" t="n">
        <v>0</v>
      </c>
      <c r="S78" s="15">
        <f>H78+Q78-R78</f>
        <v/>
      </c>
      <c r="T78" s="12" t="n">
        <v>14</v>
      </c>
      <c r="U78" s="12" t="n">
        <v>7</v>
      </c>
      <c r="V78" s="12" t="n">
        <v>7</v>
      </c>
      <c r="W78" s="16">
        <f>K78*(T78+U78)</f>
        <v/>
      </c>
      <c r="X78" s="16">
        <f>K78*(T78+U78+V78)</f>
        <v/>
      </c>
      <c r="Y78" s="16">
        <f>IF(K78&gt;0,H78/K78,99999)</f>
        <v/>
      </c>
      <c r="Z78" s="14">
        <f>IF(AND(OR(L78&gt;=1,M78&lt;0.95),Y78&gt;120),"DATA CONFLICT - VERIFY",IF(OR(L78&gt;=1,M78&lt;0.95,Y78&lt;=14),"SERVICE / STOCKOUT REVIEW",IF(Y78&gt;120,"OVERSTOCK REVIEW",IF(S78&lt;=W78,"REPLENISHMENT REVIEW","NORMAL MONITORING"))))</f>
        <v/>
      </c>
      <c r="AA78" s="15">
        <f>IF(OR(Z78="DATA CONFLICT - VERIFY",Z78="SERVICE / STOCKOUT REVIEW"),0,IF(S78&lt;=W78,MAX(0,ROUNDUP(X78-S78,0)),0))</f>
        <v/>
      </c>
      <c r="AB78" s="14">
        <f>IF(Z78="DATA CONFLICT - VERIFY","P1 - DATA CONFLICT",IF(Z78="SERVICE / STOCKOUT REVIEW","P1 - SERVICE",IF(Z78="OVERSTOCK REVIEW","P2 - OVERSTOCK",IF(Z78="REPLENISHMENT REVIEW","P2 - REPLENISH","P3 - MONITOR"))))</f>
        <v/>
      </c>
      <c r="AC78" s="16" t="n">
        <v>2934.637605633803</v>
      </c>
      <c r="AD78" s="16" t="n">
        <v>2787.905725352112</v>
      </c>
      <c r="AE78" s="16">
        <f>IF(OR(AD78="",H78=""),"",H78*AD78)</f>
        <v/>
      </c>
    </row>
    <row r="79">
      <c r="A79" s="7" t="inlineStr">
        <is>
          <t>2022-12-31</t>
        </is>
      </c>
      <c r="B79" s="7" t="n">
        <v>1857</v>
      </c>
      <c r="C79" s="8" t="inlineStr">
        <is>
          <t>SaigonCore YY-52</t>
        </is>
      </c>
      <c r="D79" s="8" t="inlineStr">
        <is>
          <t>GenZ</t>
        </is>
      </c>
      <c r="E79" s="7" t="inlineStr">
        <is>
          <t>Trendy</t>
        </is>
      </c>
      <c r="F79" s="7" t="inlineStr">
        <is>
          <t>M</t>
        </is>
      </c>
      <c r="G79" s="7" t="inlineStr">
        <is>
          <t>silver</t>
        </is>
      </c>
      <c r="H79" s="9" t="n">
        <v>6</v>
      </c>
      <c r="I79" s="9" t="n">
        <v>2</v>
      </c>
      <c r="J79" s="10" t="n">
        <v>2</v>
      </c>
      <c r="K79" s="10">
        <f>IFERROR(J79/30,0)</f>
        <v/>
      </c>
      <c r="L79" s="9" t="n">
        <v>1</v>
      </c>
      <c r="M79" s="11" t="n">
        <v>0.9667</v>
      </c>
      <c r="N79" s="9" t="n">
        <v>1</v>
      </c>
      <c r="O79" s="9" t="n">
        <v>0</v>
      </c>
      <c r="P79" s="9" t="n">
        <v>0</v>
      </c>
      <c r="Q79" s="12" t="n">
        <v>0</v>
      </c>
      <c r="R79" s="12" t="n">
        <v>0</v>
      </c>
      <c r="S79" s="9">
        <f>H79+Q79-R79</f>
        <v/>
      </c>
      <c r="T79" s="12" t="n">
        <v>14</v>
      </c>
      <c r="U79" s="12" t="n">
        <v>7</v>
      </c>
      <c r="V79" s="12" t="n">
        <v>7</v>
      </c>
      <c r="W79" s="10">
        <f>K79*(T79+U79)</f>
        <v/>
      </c>
      <c r="X79" s="10">
        <f>K79*(T79+U79+V79)</f>
        <v/>
      </c>
      <c r="Y79" s="10">
        <f>IF(K79&gt;0,H79/K79,99999)</f>
        <v/>
      </c>
      <c r="Z79" s="8">
        <f>IF(AND(OR(L79&gt;=1,M79&lt;0.95),Y79&gt;120),"DATA CONFLICT - VERIFY",IF(OR(L79&gt;=1,M79&lt;0.95,Y79&lt;=14),"SERVICE / STOCKOUT REVIEW",IF(Y79&gt;120,"OVERSTOCK REVIEW",IF(S79&lt;=W79,"REPLENISHMENT REVIEW","NORMAL MONITORING"))))</f>
        <v/>
      </c>
      <c r="AA79" s="9">
        <f>IF(OR(Z79="DATA CONFLICT - VERIFY",Z79="SERVICE / STOCKOUT REVIEW"),0,IF(S79&lt;=W79,MAX(0,ROUNDUP(X79-S79,0)),0))</f>
        <v/>
      </c>
      <c r="AB79" s="8">
        <f>IF(Z79="DATA CONFLICT - VERIFY","P1 - DATA CONFLICT",IF(Z79="SERVICE / STOCKOUT REVIEW","P1 - SERVICE",IF(Z79="OVERSTOCK REVIEW","P2 - OVERSTOCK",IF(Z79="REPLENISHMENT REVIEW","P2 - REPLENISH","P3 - MONITOR"))))</f>
        <v/>
      </c>
      <c r="AC79" s="10" t="n">
        <v>1203.695581395349</v>
      </c>
      <c r="AD79" s="10" t="n">
        <v>1114.381369255814</v>
      </c>
      <c r="AE79" s="10">
        <f>IF(OR(AD79="",H79=""),"",H79*AD79)</f>
        <v/>
      </c>
    </row>
    <row r="80">
      <c r="A80" s="13" t="inlineStr">
        <is>
          <t>2022-12-31</t>
        </is>
      </c>
      <c r="B80" s="13" t="n">
        <v>2097</v>
      </c>
      <c r="C80" s="14" t="inlineStr">
        <is>
          <t>UrbanVN YY-01</t>
        </is>
      </c>
      <c r="D80" s="14" t="inlineStr">
        <is>
          <t>GenZ</t>
        </is>
      </c>
      <c r="E80" s="13" t="inlineStr">
        <is>
          <t>Trendy</t>
        </is>
      </c>
      <c r="F80" s="13" t="inlineStr">
        <is>
          <t>M</t>
        </is>
      </c>
      <c r="G80" s="13" t="inlineStr">
        <is>
          <t>silver</t>
        </is>
      </c>
      <c r="H80" s="15" t="n">
        <v>72</v>
      </c>
      <c r="I80" s="15" t="n">
        <v>1</v>
      </c>
      <c r="J80" s="16" t="n">
        <v>3.666666666666667</v>
      </c>
      <c r="K80" s="16">
        <f>IFERROR(J80/30,0)</f>
        <v/>
      </c>
      <c r="L80" s="15" t="n">
        <v>0</v>
      </c>
      <c r="M80" s="17" t="n">
        <v>1</v>
      </c>
      <c r="N80" s="15" t="n">
        <v>0</v>
      </c>
      <c r="O80" s="15" t="n">
        <v>1</v>
      </c>
      <c r="P80" s="15" t="n">
        <v>0</v>
      </c>
      <c r="Q80" s="12" t="n">
        <v>0</v>
      </c>
      <c r="R80" s="12" t="n">
        <v>0</v>
      </c>
      <c r="S80" s="15">
        <f>H80+Q80-R80</f>
        <v/>
      </c>
      <c r="T80" s="12" t="n">
        <v>14</v>
      </c>
      <c r="U80" s="12" t="n">
        <v>7</v>
      </c>
      <c r="V80" s="12" t="n">
        <v>7</v>
      </c>
      <c r="W80" s="16">
        <f>K80*(T80+U80)</f>
        <v/>
      </c>
      <c r="X80" s="16">
        <f>K80*(T80+U80+V80)</f>
        <v/>
      </c>
      <c r="Y80" s="16">
        <f>IF(K80&gt;0,H80/K80,99999)</f>
        <v/>
      </c>
      <c r="Z80" s="14">
        <f>IF(AND(OR(L80&gt;=1,M80&lt;0.95),Y80&gt;120),"DATA CONFLICT - VERIFY",IF(OR(L80&gt;=1,M80&lt;0.95,Y80&lt;=14),"SERVICE / STOCKOUT REVIEW",IF(Y80&gt;120,"OVERSTOCK REVIEW",IF(S80&lt;=W80,"REPLENISHMENT REVIEW","NORMAL MONITORING"))))</f>
        <v/>
      </c>
      <c r="AA80" s="15">
        <f>IF(OR(Z80="DATA CONFLICT - VERIFY",Z80="SERVICE / STOCKOUT REVIEW"),0,IF(S80&lt;=W80,MAX(0,ROUNDUP(X80-S80,0)),0))</f>
        <v/>
      </c>
      <c r="AB80" s="14">
        <f>IF(Z80="DATA CONFLICT - VERIFY","P1 - DATA CONFLICT",IF(Z80="SERVICE / STOCKOUT REVIEW","P1 - SERVICE",IF(Z80="OVERSTOCK REVIEW","P2 - OVERSTOCK",IF(Z80="REPLENISHMENT REVIEW","P2 - REPLENISH","P3 - MONITOR"))))</f>
        <v/>
      </c>
      <c r="AC80" s="16" t="n">
        <v>5908.77</v>
      </c>
      <c r="AD80" s="16" t="n">
        <v>5613.3315</v>
      </c>
      <c r="AE80" s="16">
        <f>IF(OR(AD80="",H80=""),"",H80*AD80)</f>
        <v/>
      </c>
    </row>
    <row r="81">
      <c r="A81" s="7" t="inlineStr">
        <is>
          <t>2022-12-31</t>
        </is>
      </c>
      <c r="B81" s="7" t="n">
        <v>2100</v>
      </c>
      <c r="C81" s="8" t="inlineStr">
        <is>
          <t>UrbanVN YY-04</t>
        </is>
      </c>
      <c r="D81" s="8" t="inlineStr">
        <is>
          <t>GenZ</t>
        </is>
      </c>
      <c r="E81" s="7" t="inlineStr">
        <is>
          <t>Trendy</t>
        </is>
      </c>
      <c r="F81" s="7" t="inlineStr">
        <is>
          <t>S</t>
        </is>
      </c>
      <c r="G81" s="7" t="inlineStr">
        <is>
          <t>red</t>
        </is>
      </c>
      <c r="H81" s="9" t="n">
        <v>22</v>
      </c>
      <c r="I81" s="9" t="n">
        <v>5</v>
      </c>
      <c r="J81" s="10" t="n">
        <v>3.666666666666667</v>
      </c>
      <c r="K81" s="10">
        <f>IFERROR(J81/30,0)</f>
        <v/>
      </c>
      <c r="L81" s="9" t="n">
        <v>2</v>
      </c>
      <c r="M81" s="11" t="n">
        <v>0.9333</v>
      </c>
      <c r="N81" s="9" t="n">
        <v>1</v>
      </c>
      <c r="O81" s="9" t="n">
        <v>1</v>
      </c>
      <c r="P81" s="9" t="n">
        <v>0</v>
      </c>
      <c r="Q81" s="12" t="n">
        <v>0</v>
      </c>
      <c r="R81" s="12" t="n">
        <v>0</v>
      </c>
      <c r="S81" s="9">
        <f>H81+Q81-R81</f>
        <v/>
      </c>
      <c r="T81" s="12" t="n">
        <v>14</v>
      </c>
      <c r="U81" s="12" t="n">
        <v>7</v>
      </c>
      <c r="V81" s="12" t="n">
        <v>7</v>
      </c>
      <c r="W81" s="10">
        <f>K81*(T81+U81)</f>
        <v/>
      </c>
      <c r="X81" s="10">
        <f>K81*(T81+U81+V81)</f>
        <v/>
      </c>
      <c r="Y81" s="10">
        <f>IF(K81&gt;0,H81/K81,99999)</f>
        <v/>
      </c>
      <c r="Z81" s="8">
        <f>IF(AND(OR(L81&gt;=1,M81&lt;0.95),Y81&gt;120),"DATA CONFLICT - VERIFY",IF(OR(L81&gt;=1,M81&lt;0.95,Y81&lt;=14),"SERVICE / STOCKOUT REVIEW",IF(Y81&gt;120,"OVERSTOCK REVIEW",IF(S81&lt;=W81,"REPLENISHMENT REVIEW","NORMAL MONITORING"))))</f>
        <v/>
      </c>
      <c r="AA81" s="9">
        <f>IF(OR(Z81="DATA CONFLICT - VERIFY",Z81="SERVICE / STOCKOUT REVIEW"),0,IF(S81&lt;=W81,MAX(0,ROUNDUP(X81-S81,0)),0))</f>
        <v/>
      </c>
      <c r="AB81" s="8">
        <f>IF(Z81="DATA CONFLICT - VERIFY","P1 - DATA CONFLICT",IF(Z81="SERVICE / STOCKOUT REVIEW","P1 - SERVICE",IF(Z81="OVERSTOCK REVIEW","P2 - OVERSTOCK",IF(Z81="REPLENISHMENT REVIEW","P2 - REPLENISH","P3 - MONITOR"))))</f>
        <v/>
      </c>
      <c r="AC81" s="10" t="n">
        <v>4801.846595744681</v>
      </c>
      <c r="AD81" s="10" t="n">
        <v>2893.112573936171</v>
      </c>
      <c r="AE81" s="10">
        <f>IF(OR(AD81="",H81=""),"",H81*AD81)</f>
        <v/>
      </c>
    </row>
    <row r="82">
      <c r="A82" s="13" t="inlineStr">
        <is>
          <t>2022-12-31</t>
        </is>
      </c>
      <c r="B82" s="13" t="n">
        <v>2394</v>
      </c>
      <c r="C82" s="14" t="inlineStr">
        <is>
          <t>VietMotion YY-03</t>
        </is>
      </c>
      <c r="D82" s="14" t="inlineStr">
        <is>
          <t>GenZ</t>
        </is>
      </c>
      <c r="E82" s="13" t="inlineStr">
        <is>
          <t>Trendy</t>
        </is>
      </c>
      <c r="F82" s="13" t="inlineStr">
        <is>
          <t>L</t>
        </is>
      </c>
      <c r="G82" s="13" t="inlineStr">
        <is>
          <t>white</t>
        </is>
      </c>
      <c r="H82" s="15" t="n">
        <v>523</v>
      </c>
      <c r="I82" s="15" t="n">
        <v>3</v>
      </c>
      <c r="J82" s="16" t="n">
        <v>3.333333333333333</v>
      </c>
      <c r="K82" s="16">
        <f>IFERROR(J82/30,0)</f>
        <v/>
      </c>
      <c r="L82" s="15" t="n">
        <v>1</v>
      </c>
      <c r="M82" s="17" t="n">
        <v>0.9667</v>
      </c>
      <c r="N82" s="15" t="n">
        <v>1</v>
      </c>
      <c r="O82" s="15" t="n">
        <v>1</v>
      </c>
      <c r="P82" s="15" t="n">
        <v>0</v>
      </c>
      <c r="Q82" s="12" t="n">
        <v>0</v>
      </c>
      <c r="R82" s="12" t="n">
        <v>0</v>
      </c>
      <c r="S82" s="15">
        <f>H82+Q82-R82</f>
        <v/>
      </c>
      <c r="T82" s="12" t="n">
        <v>14</v>
      </c>
      <c r="U82" s="12" t="n">
        <v>7</v>
      </c>
      <c r="V82" s="12" t="n">
        <v>7</v>
      </c>
      <c r="W82" s="16">
        <f>K82*(T82+U82)</f>
        <v/>
      </c>
      <c r="X82" s="16">
        <f>K82*(T82+U82+V82)</f>
        <v/>
      </c>
      <c r="Y82" s="16">
        <f>IF(K82&gt;0,H82/K82,99999)</f>
        <v/>
      </c>
      <c r="Z82" s="14">
        <f>IF(AND(OR(L82&gt;=1,M82&lt;0.95),Y82&gt;120),"DATA CONFLICT - VERIFY",IF(OR(L82&gt;=1,M82&lt;0.95,Y82&lt;=14),"SERVICE / STOCKOUT REVIEW",IF(Y82&gt;120,"OVERSTOCK REVIEW",IF(S82&lt;=W82,"REPLENISHMENT REVIEW","NORMAL MONITORING"))))</f>
        <v/>
      </c>
      <c r="AA82" s="15">
        <f>IF(OR(Z82="DATA CONFLICT - VERIFY",Z82="SERVICE / STOCKOUT REVIEW"),0,IF(S82&lt;=W82,MAX(0,ROUNDUP(X82-S82,0)),0))</f>
        <v/>
      </c>
      <c r="AB82" s="14">
        <f>IF(Z82="DATA CONFLICT - VERIFY","P1 - DATA CONFLICT",IF(Z82="SERVICE / STOCKOUT REVIEW","P1 - SERVICE",IF(Z82="OVERSTOCK REVIEW","P2 - OVERSTOCK",IF(Z82="REPLENISHMENT REVIEW","P2 - REPLENISH","P3 - MONITOR"))))</f>
        <v/>
      </c>
      <c r="AC82" s="16" t="n">
        <v>1618.174864864865</v>
      </c>
      <c r="AD82" s="16" t="n">
        <v>1252.467345405406</v>
      </c>
      <c r="AE82" s="16">
        <f>IF(OR(AD82="",H82=""),"",H82*AD82)</f>
        <v/>
      </c>
    </row>
    <row r="83">
      <c r="A83" s="7" t="inlineStr">
        <is>
          <t>2022-12-31</t>
        </is>
      </c>
      <c r="B83" s="7" t="n">
        <v>2395</v>
      </c>
      <c r="C83" s="8" t="inlineStr">
        <is>
          <t>VietMotion YY-04</t>
        </is>
      </c>
      <c r="D83" s="8" t="inlineStr">
        <is>
          <t>GenZ</t>
        </is>
      </c>
      <c r="E83" s="7" t="inlineStr">
        <is>
          <t>Trendy</t>
        </is>
      </c>
      <c r="F83" s="7" t="inlineStr">
        <is>
          <t>XL</t>
        </is>
      </c>
      <c r="G83" s="7" t="inlineStr">
        <is>
          <t>purple</t>
        </is>
      </c>
      <c r="H83" s="9" t="n">
        <v>273</v>
      </c>
      <c r="I83" s="9" t="n">
        <v>16</v>
      </c>
      <c r="J83" s="10" t="n">
        <v>12</v>
      </c>
      <c r="K83" s="10">
        <f>IFERROR(J83/30,0)</f>
        <v/>
      </c>
      <c r="L83" s="9" t="n">
        <v>1</v>
      </c>
      <c r="M83" s="11" t="n">
        <v>0.9667</v>
      </c>
      <c r="N83" s="9" t="n">
        <v>1</v>
      </c>
      <c r="O83" s="9" t="n">
        <v>1</v>
      </c>
      <c r="P83" s="9" t="n">
        <v>0</v>
      </c>
      <c r="Q83" s="12" t="n">
        <v>0</v>
      </c>
      <c r="R83" s="12" t="n">
        <v>0</v>
      </c>
      <c r="S83" s="9">
        <f>H83+Q83-R83</f>
        <v/>
      </c>
      <c r="T83" s="12" t="n">
        <v>14</v>
      </c>
      <c r="U83" s="12" t="n">
        <v>7</v>
      </c>
      <c r="V83" s="12" t="n">
        <v>7</v>
      </c>
      <c r="W83" s="10">
        <f>K83*(T83+U83)</f>
        <v/>
      </c>
      <c r="X83" s="10">
        <f>K83*(T83+U83+V83)</f>
        <v/>
      </c>
      <c r="Y83" s="10">
        <f>IF(K83&gt;0,H83/K83,99999)</f>
        <v/>
      </c>
      <c r="Z83" s="8">
        <f>IF(AND(OR(L83&gt;=1,M83&lt;0.95),Y83&gt;120),"DATA CONFLICT - VERIFY",IF(OR(L83&gt;=1,M83&lt;0.95,Y83&lt;=14),"SERVICE / STOCKOUT REVIEW",IF(Y83&gt;120,"OVERSTOCK REVIEW",IF(S83&lt;=W83,"REPLENISHMENT REVIEW","NORMAL MONITORING"))))</f>
        <v/>
      </c>
      <c r="AA83" s="9">
        <f>IF(OR(Z83="DATA CONFLICT - VERIFY",Z83="SERVICE / STOCKOUT REVIEW"),0,IF(S83&lt;=W83,MAX(0,ROUNDUP(X83-S83,0)),0))</f>
        <v/>
      </c>
      <c r="AB83" s="8">
        <f>IF(Z83="DATA CONFLICT - VERIFY","P1 - DATA CONFLICT",IF(Z83="SERVICE / STOCKOUT REVIEW","P1 - SERVICE",IF(Z83="OVERSTOCK REVIEW","P2 - OVERSTOCK",IF(Z83="REPLENISHMENT REVIEW","P2 - REPLENISH","P3 - MONITOR"))))</f>
        <v/>
      </c>
      <c r="AC83" s="10" t="n">
        <v>1987.569124423963</v>
      </c>
      <c r="AD83" s="10" t="n">
        <v>1152.392578341014</v>
      </c>
      <c r="AE83" s="10">
        <f>IF(OR(AD83="",H83=""),"",H83*AD83)</f>
        <v/>
      </c>
    </row>
    <row r="84">
      <c r="A84" s="13" t="inlineStr">
        <is>
          <t>2022-12-31</t>
        </is>
      </c>
      <c r="B84" s="13" t="n">
        <v>2396</v>
      </c>
      <c r="C84" s="14" t="inlineStr">
        <is>
          <t>VietMotion YY-05</t>
        </is>
      </c>
      <c r="D84" s="14" t="inlineStr">
        <is>
          <t>GenZ</t>
        </is>
      </c>
      <c r="E84" s="13" t="inlineStr">
        <is>
          <t>Trendy</t>
        </is>
      </c>
      <c r="F84" s="13" t="inlineStr">
        <is>
          <t>S</t>
        </is>
      </c>
      <c r="G84" s="13" t="inlineStr">
        <is>
          <t>green</t>
        </is>
      </c>
      <c r="H84" s="15" t="n">
        <v>1254</v>
      </c>
      <c r="I84" s="15" t="n">
        <v>4</v>
      </c>
      <c r="J84" s="16" t="n">
        <v>2.333333333333333</v>
      </c>
      <c r="K84" s="16">
        <f>IFERROR(J84/30,0)</f>
        <v/>
      </c>
      <c r="L84" s="15" t="n">
        <v>0</v>
      </c>
      <c r="M84" s="17" t="n">
        <v>1</v>
      </c>
      <c r="N84" s="15" t="n">
        <v>0</v>
      </c>
      <c r="O84" s="15" t="n">
        <v>1</v>
      </c>
      <c r="P84" s="15" t="n">
        <v>0</v>
      </c>
      <c r="Q84" s="12" t="n">
        <v>0</v>
      </c>
      <c r="R84" s="12" t="n">
        <v>0</v>
      </c>
      <c r="S84" s="15">
        <f>H84+Q84-R84</f>
        <v/>
      </c>
      <c r="T84" s="12" t="n">
        <v>14</v>
      </c>
      <c r="U84" s="12" t="n">
        <v>7</v>
      </c>
      <c r="V84" s="12" t="n">
        <v>7</v>
      </c>
      <c r="W84" s="16">
        <f>K84*(T84+U84)</f>
        <v/>
      </c>
      <c r="X84" s="16">
        <f>K84*(T84+U84+V84)</f>
        <v/>
      </c>
      <c r="Y84" s="16">
        <f>IF(K84&gt;0,H84/K84,99999)</f>
        <v/>
      </c>
      <c r="Z84" s="14">
        <f>IF(AND(OR(L84&gt;=1,M84&lt;0.95),Y84&gt;120),"DATA CONFLICT - VERIFY",IF(OR(L84&gt;=1,M84&lt;0.95,Y84&lt;=14),"SERVICE / STOCKOUT REVIEW",IF(Y84&gt;120,"OVERSTOCK REVIEW",IF(S84&lt;=W84,"REPLENISHMENT REVIEW","NORMAL MONITORING"))))</f>
        <v/>
      </c>
      <c r="AA84" s="15">
        <f>IF(OR(Z84="DATA CONFLICT - VERIFY",Z84="SERVICE / STOCKOUT REVIEW"),0,IF(S84&lt;=W84,MAX(0,ROUNDUP(X84-S84,0)),0))</f>
        <v/>
      </c>
      <c r="AB84" s="14">
        <f>IF(Z84="DATA CONFLICT - VERIFY","P1 - DATA CONFLICT",IF(Z84="SERVICE / STOCKOUT REVIEW","P1 - SERVICE",IF(Z84="OVERSTOCK REVIEW","P2 - OVERSTOCK",IF(Z84="REPLENISHMENT REVIEW","P2 - REPLENISH","P3 - MONITOR"))))</f>
        <v/>
      </c>
      <c r="AC84" s="16" t="n">
        <v>1182.850890410959</v>
      </c>
      <c r="AD84" s="16" t="n">
        <v>799.0157764726027</v>
      </c>
      <c r="AE84" s="16">
        <f>IF(OR(AD84="",H84=""),"",H84*AD84)</f>
        <v/>
      </c>
    </row>
    <row r="85">
      <c r="A85" s="7" t="inlineStr">
        <is>
          <t>2022-12-31</t>
        </is>
      </c>
      <c r="B85" s="7" t="n">
        <v>2402</v>
      </c>
      <c r="C85" s="8" t="inlineStr">
        <is>
          <t>VietMotion YY-11</t>
        </is>
      </c>
      <c r="D85" s="8" t="inlineStr">
        <is>
          <t>GenZ</t>
        </is>
      </c>
      <c r="E85" s="7" t="inlineStr">
        <is>
          <t>Trendy</t>
        </is>
      </c>
      <c r="F85" s="7" t="inlineStr">
        <is>
          <t>L</t>
        </is>
      </c>
      <c r="G85" s="7" t="inlineStr">
        <is>
          <t>orange</t>
        </is>
      </c>
      <c r="H85" s="9" t="n">
        <v>172</v>
      </c>
      <c r="I85" s="9" t="n">
        <v>1</v>
      </c>
      <c r="J85" s="10" t="n">
        <v>1.666666666666667</v>
      </c>
      <c r="K85" s="10">
        <f>IFERROR(J85/30,0)</f>
        <v/>
      </c>
      <c r="L85" s="9" t="n">
        <v>2</v>
      </c>
      <c r="M85" s="11" t="n">
        <v>0.9333</v>
      </c>
      <c r="N85" s="9" t="n">
        <v>1</v>
      </c>
      <c r="O85" s="9" t="n">
        <v>1</v>
      </c>
      <c r="P85" s="9" t="n">
        <v>0</v>
      </c>
      <c r="Q85" s="12" t="n">
        <v>0</v>
      </c>
      <c r="R85" s="12" t="n">
        <v>0</v>
      </c>
      <c r="S85" s="9">
        <f>H85+Q85-R85</f>
        <v/>
      </c>
      <c r="T85" s="12" t="n">
        <v>14</v>
      </c>
      <c r="U85" s="12" t="n">
        <v>7</v>
      </c>
      <c r="V85" s="12" t="n">
        <v>7</v>
      </c>
      <c r="W85" s="10">
        <f>K85*(T85+U85)</f>
        <v/>
      </c>
      <c r="X85" s="10">
        <f>K85*(T85+U85+V85)</f>
        <v/>
      </c>
      <c r="Y85" s="10">
        <f>IF(K85&gt;0,H85/K85,99999)</f>
        <v/>
      </c>
      <c r="Z85" s="8">
        <f>IF(AND(OR(L85&gt;=1,M85&lt;0.95),Y85&gt;120),"DATA CONFLICT - VERIFY",IF(OR(L85&gt;=1,M85&lt;0.95,Y85&lt;=14),"SERVICE / STOCKOUT REVIEW",IF(Y85&gt;120,"OVERSTOCK REVIEW",IF(S85&lt;=W85,"REPLENISHMENT REVIEW","NORMAL MONITORING"))))</f>
        <v/>
      </c>
      <c r="AA85" s="9">
        <f>IF(OR(Z85="DATA CONFLICT - VERIFY",Z85="SERVICE / STOCKOUT REVIEW"),0,IF(S85&lt;=W85,MAX(0,ROUNDUP(X85-S85,0)),0))</f>
        <v/>
      </c>
      <c r="AB85" s="8">
        <f>IF(Z85="DATA CONFLICT - VERIFY","P1 - DATA CONFLICT",IF(Z85="SERVICE / STOCKOUT REVIEW","P1 - SERVICE",IF(Z85="OVERSTOCK REVIEW","P2 - OVERSTOCK",IF(Z85="REPLENISHMENT REVIEW","P2 - REPLENISH","P3 - MONITOR"))))</f>
        <v/>
      </c>
      <c r="AC85" s="10" t="n">
        <v>3733.948733944954</v>
      </c>
      <c r="AD85" s="10" t="n">
        <v>1874.442264440367</v>
      </c>
      <c r="AE85" s="10">
        <f>IF(OR(AD85="",H85=""),"",H85*AD85)</f>
        <v/>
      </c>
    </row>
    <row r="86">
      <c r="A86" s="13" t="inlineStr">
        <is>
          <t>2022-12-31</t>
        </is>
      </c>
      <c r="B86" s="13" t="n">
        <v>2403</v>
      </c>
      <c r="C86" s="14" t="inlineStr">
        <is>
          <t>VietMotion YY-12</t>
        </is>
      </c>
      <c r="D86" s="14" t="inlineStr">
        <is>
          <t>GenZ</t>
        </is>
      </c>
      <c r="E86" s="13" t="inlineStr">
        <is>
          <t>Trendy</t>
        </is>
      </c>
      <c r="F86" s="13" t="inlineStr">
        <is>
          <t>XL</t>
        </is>
      </c>
      <c r="G86" s="13" t="inlineStr">
        <is>
          <t>blue</t>
        </is>
      </c>
      <c r="H86" s="15" t="n">
        <v>87</v>
      </c>
      <c r="I86" s="15" t="n">
        <v>18</v>
      </c>
      <c r="J86" s="16" t="n">
        <v>15.66666666666667</v>
      </c>
      <c r="K86" s="16">
        <f>IFERROR(J86/30,0)</f>
        <v/>
      </c>
      <c r="L86" s="15" t="n">
        <v>2</v>
      </c>
      <c r="M86" s="17" t="n">
        <v>0.9333</v>
      </c>
      <c r="N86" s="15" t="n">
        <v>1</v>
      </c>
      <c r="O86" s="15" t="n">
        <v>1</v>
      </c>
      <c r="P86" s="15" t="n">
        <v>0</v>
      </c>
      <c r="Q86" s="12" t="n">
        <v>0</v>
      </c>
      <c r="R86" s="12" t="n">
        <v>0</v>
      </c>
      <c r="S86" s="15">
        <f>H86+Q86-R86</f>
        <v/>
      </c>
      <c r="T86" s="12" t="n">
        <v>14</v>
      </c>
      <c r="U86" s="12" t="n">
        <v>7</v>
      </c>
      <c r="V86" s="12" t="n">
        <v>7</v>
      </c>
      <c r="W86" s="16">
        <f>K86*(T86+U86)</f>
        <v/>
      </c>
      <c r="X86" s="16">
        <f>K86*(T86+U86+V86)</f>
        <v/>
      </c>
      <c r="Y86" s="16">
        <f>IF(K86&gt;0,H86/K86,99999)</f>
        <v/>
      </c>
      <c r="Z86" s="14">
        <f>IF(AND(OR(L86&gt;=1,M86&lt;0.95),Y86&gt;120),"DATA CONFLICT - VERIFY",IF(OR(L86&gt;=1,M86&lt;0.95,Y86&lt;=14),"SERVICE / STOCKOUT REVIEW",IF(Y86&gt;120,"OVERSTOCK REVIEW",IF(S86&lt;=W86,"REPLENISHMENT REVIEW","NORMAL MONITORING"))))</f>
        <v/>
      </c>
      <c r="AA86" s="15">
        <f>IF(OR(Z86="DATA CONFLICT - VERIFY",Z86="SERVICE / STOCKOUT REVIEW"),0,IF(S86&lt;=W86,MAX(0,ROUNDUP(X86-S86,0)),0))</f>
        <v/>
      </c>
      <c r="AB86" s="14">
        <f>IF(Z86="DATA CONFLICT - VERIFY","P1 - DATA CONFLICT",IF(Z86="SERVICE / STOCKOUT REVIEW","P1 - SERVICE",IF(Z86="OVERSTOCK REVIEW","P2 - OVERSTOCK",IF(Z86="REPLENISHMENT REVIEW","P2 - REPLENISH","P3 - MONITOR"))))</f>
        <v/>
      </c>
      <c r="AC86" s="16" t="n">
        <v>1616.802655771195</v>
      </c>
      <c r="AD86" s="16" t="n">
        <v>850.2765166700715</v>
      </c>
      <c r="AE86" s="16">
        <f>IF(OR(AD86="",H86=""),"",H86*AD86)</f>
        <v/>
      </c>
    </row>
    <row r="87">
      <c r="A87" s="7" t="inlineStr">
        <is>
          <t>2022-12-31</t>
        </is>
      </c>
      <c r="B87" s="7" t="n">
        <v>2405</v>
      </c>
      <c r="C87" s="8" t="inlineStr">
        <is>
          <t>VietMotion YY-14</t>
        </is>
      </c>
      <c r="D87" s="8" t="inlineStr">
        <is>
          <t>GenZ</t>
        </is>
      </c>
      <c r="E87" s="7" t="inlineStr">
        <is>
          <t>Trendy</t>
        </is>
      </c>
      <c r="F87" s="7" t="inlineStr">
        <is>
          <t>M</t>
        </is>
      </c>
      <c r="G87" s="7" t="inlineStr">
        <is>
          <t>purple</t>
        </is>
      </c>
      <c r="H87" s="9" t="n">
        <v>63</v>
      </c>
      <c r="I87" s="9" t="n">
        <v>1</v>
      </c>
      <c r="J87" s="10" t="n">
        <v>1</v>
      </c>
      <c r="K87" s="10">
        <f>IFERROR(J87/30,0)</f>
        <v/>
      </c>
      <c r="L87" s="9" t="n">
        <v>0</v>
      </c>
      <c r="M87" s="11" t="n">
        <v>1</v>
      </c>
      <c r="N87" s="9" t="n">
        <v>0</v>
      </c>
      <c r="O87" s="9" t="n">
        <v>1</v>
      </c>
      <c r="P87" s="9" t="n">
        <v>0</v>
      </c>
      <c r="Q87" s="12" t="n">
        <v>0</v>
      </c>
      <c r="R87" s="12" t="n">
        <v>0</v>
      </c>
      <c r="S87" s="9">
        <f>H87+Q87-R87</f>
        <v/>
      </c>
      <c r="T87" s="12" t="n">
        <v>14</v>
      </c>
      <c r="U87" s="12" t="n">
        <v>7</v>
      </c>
      <c r="V87" s="12" t="n">
        <v>7</v>
      </c>
      <c r="W87" s="10">
        <f>K87*(T87+U87)</f>
        <v/>
      </c>
      <c r="X87" s="10">
        <f>K87*(T87+U87+V87)</f>
        <v/>
      </c>
      <c r="Y87" s="10">
        <f>IF(K87&gt;0,H87/K87,99999)</f>
        <v/>
      </c>
      <c r="Z87" s="8">
        <f>IF(AND(OR(L87&gt;=1,M87&lt;0.95),Y87&gt;120),"DATA CONFLICT - VERIFY",IF(OR(L87&gt;=1,M87&lt;0.95,Y87&lt;=14),"SERVICE / STOCKOUT REVIEW",IF(Y87&gt;120,"OVERSTOCK REVIEW",IF(S87&lt;=W87,"REPLENISHMENT REVIEW","NORMAL MONITORING"))))</f>
        <v/>
      </c>
      <c r="AA87" s="9">
        <f>IF(OR(Z87="DATA CONFLICT - VERIFY",Z87="SERVICE / STOCKOUT REVIEW"),0,IF(S87&lt;=W87,MAX(0,ROUNDUP(X87-S87,0)),0))</f>
        <v/>
      </c>
      <c r="AB87" s="8">
        <f>IF(Z87="DATA CONFLICT - VERIFY","P1 - DATA CONFLICT",IF(Z87="SERVICE / STOCKOUT REVIEW","P1 - SERVICE",IF(Z87="OVERSTOCK REVIEW","P2 - OVERSTOCK",IF(Z87="REPLENISHMENT REVIEW","P2 - REPLENISH","P3 - MONITOR"))))</f>
        <v/>
      </c>
      <c r="AC87" s="10" t="n">
        <v>5084.865394736842</v>
      </c>
      <c r="AD87" s="10" t="n">
        <v>2906.000573092106</v>
      </c>
      <c r="AE87" s="10">
        <f>IF(OR(AD87="",H87=""),"",H87*AD87)</f>
        <v/>
      </c>
    </row>
    <row r="88">
      <c r="A88" s="13" t="inlineStr">
        <is>
          <t>2022-12-31</t>
        </is>
      </c>
      <c r="B88" s="13" t="n">
        <v>2412</v>
      </c>
      <c r="C88" s="14" t="inlineStr">
        <is>
          <t>VietMotion YY-21</t>
        </is>
      </c>
      <c r="D88" s="14" t="inlineStr">
        <is>
          <t>GenZ</t>
        </is>
      </c>
      <c r="E88" s="13" t="inlineStr">
        <is>
          <t>Trendy</t>
        </is>
      </c>
      <c r="F88" s="13" t="inlineStr">
        <is>
          <t>S</t>
        </is>
      </c>
      <c r="G88" s="13" t="inlineStr">
        <is>
          <t>orange</t>
        </is>
      </c>
      <c r="H88" s="15" t="n">
        <v>253</v>
      </c>
      <c r="I88" s="15" t="n">
        <v>15</v>
      </c>
      <c r="J88" s="16" t="n">
        <v>7</v>
      </c>
      <c r="K88" s="16">
        <f>IFERROR(J88/30,0)</f>
        <v/>
      </c>
      <c r="L88" s="15" t="n">
        <v>1</v>
      </c>
      <c r="M88" s="17" t="n">
        <v>0.9667</v>
      </c>
      <c r="N88" s="15" t="n">
        <v>1</v>
      </c>
      <c r="O88" s="15" t="n">
        <v>1</v>
      </c>
      <c r="P88" s="15" t="n">
        <v>0</v>
      </c>
      <c r="Q88" s="12" t="n">
        <v>0</v>
      </c>
      <c r="R88" s="12" t="n">
        <v>0</v>
      </c>
      <c r="S88" s="15">
        <f>H88+Q88-R88</f>
        <v/>
      </c>
      <c r="T88" s="12" t="n">
        <v>14</v>
      </c>
      <c r="U88" s="12" t="n">
        <v>7</v>
      </c>
      <c r="V88" s="12" t="n">
        <v>7</v>
      </c>
      <c r="W88" s="16">
        <f>K88*(T88+U88)</f>
        <v/>
      </c>
      <c r="X88" s="16">
        <f>K88*(T88+U88+V88)</f>
        <v/>
      </c>
      <c r="Y88" s="16">
        <f>IF(K88&gt;0,H88/K88,99999)</f>
        <v/>
      </c>
      <c r="Z88" s="14">
        <f>IF(AND(OR(L88&gt;=1,M88&lt;0.95),Y88&gt;120),"DATA CONFLICT - VERIFY",IF(OR(L88&gt;=1,M88&lt;0.95,Y88&lt;=14),"SERVICE / STOCKOUT REVIEW",IF(Y88&gt;120,"OVERSTOCK REVIEW",IF(S88&lt;=W88,"REPLENISHMENT REVIEW","NORMAL MONITORING"))))</f>
        <v/>
      </c>
      <c r="AA88" s="15">
        <f>IF(OR(Z88="DATA CONFLICT - VERIFY",Z88="SERVICE / STOCKOUT REVIEW"),0,IF(S88&lt;=W88,MAX(0,ROUNDUP(X88-S88,0)),0))</f>
        <v/>
      </c>
      <c r="AB88" s="14">
        <f>IF(Z88="DATA CONFLICT - VERIFY","P1 - DATA CONFLICT",IF(Z88="SERVICE / STOCKOUT REVIEW","P1 - SERVICE",IF(Z88="OVERSTOCK REVIEW","P2 - OVERSTOCK",IF(Z88="REPLENISHMENT REVIEW","P2 - REPLENISH","P3 - MONITOR"))))</f>
        <v/>
      </c>
      <c r="AC88" s="16" t="n">
        <v>1233.091907284768</v>
      </c>
      <c r="AD88" s="16" t="n">
        <v>836.5295499019866</v>
      </c>
      <c r="AE88" s="16">
        <f>IF(OR(AD88="",H88=""),"",H88*AD88)</f>
        <v/>
      </c>
    </row>
    <row r="89">
      <c r="A89" s="7" t="inlineStr">
        <is>
          <t>2022-12-31</t>
        </is>
      </c>
      <c r="B89" s="7" t="n">
        <v>54</v>
      </c>
      <c r="C89" s="8" t="inlineStr">
        <is>
          <t>DragonWear RP-09</t>
        </is>
      </c>
      <c r="D89" s="8" t="inlineStr">
        <is>
          <t>Outdoor</t>
        </is>
      </c>
      <c r="E89" s="7" t="inlineStr">
        <is>
          <t>Activewear</t>
        </is>
      </c>
      <c r="F89" s="7" t="inlineStr">
        <is>
          <t>L</t>
        </is>
      </c>
      <c r="G89" s="7" t="inlineStr">
        <is>
          <t>white</t>
        </is>
      </c>
      <c r="H89" s="9" t="n">
        <v>4</v>
      </c>
      <c r="I89" s="9" t="n">
        <v>1</v>
      </c>
      <c r="J89" s="10" t="n">
        <v>1</v>
      </c>
      <c r="K89" s="10">
        <f>IFERROR(J89/30,0)</f>
        <v/>
      </c>
      <c r="L89" s="9" t="n">
        <v>1</v>
      </c>
      <c r="M89" s="11" t="n">
        <v>0.9667</v>
      </c>
      <c r="N89" s="9" t="n">
        <v>1</v>
      </c>
      <c r="O89" s="9" t="n">
        <v>1</v>
      </c>
      <c r="P89" s="9" t="n">
        <v>0</v>
      </c>
      <c r="Q89" s="12" t="n">
        <v>0</v>
      </c>
      <c r="R89" s="12" t="n">
        <v>0</v>
      </c>
      <c r="S89" s="9">
        <f>H89+Q89-R89</f>
        <v/>
      </c>
      <c r="T89" s="12" t="n">
        <v>14</v>
      </c>
      <c r="U89" s="12" t="n">
        <v>7</v>
      </c>
      <c r="V89" s="12" t="n">
        <v>7</v>
      </c>
      <c r="W89" s="10">
        <f>K89*(T89+U89)</f>
        <v/>
      </c>
      <c r="X89" s="10">
        <f>K89*(T89+U89+V89)</f>
        <v/>
      </c>
      <c r="Y89" s="10">
        <f>IF(K89&gt;0,H89/K89,99999)</f>
        <v/>
      </c>
      <c r="Z89" s="8">
        <f>IF(AND(OR(L89&gt;=1,M89&lt;0.95),Y89&gt;120),"DATA CONFLICT - VERIFY",IF(OR(L89&gt;=1,M89&lt;0.95,Y89&lt;=14),"SERVICE / STOCKOUT REVIEW",IF(Y89&gt;120,"OVERSTOCK REVIEW",IF(S89&lt;=W89,"REPLENISHMENT REVIEW","NORMAL MONITORING"))))</f>
        <v/>
      </c>
      <c r="AA89" s="9">
        <f>IF(OR(Z89="DATA CONFLICT - VERIFY",Z89="SERVICE / STOCKOUT REVIEW"),0,IF(S89&lt;=W89,MAX(0,ROUNDUP(X89-S89,0)),0))</f>
        <v/>
      </c>
      <c r="AB89" s="8">
        <f>IF(Z89="DATA CONFLICT - VERIFY","P1 - DATA CONFLICT",IF(Z89="SERVICE / STOCKOUT REVIEW","P1 - SERVICE",IF(Z89="OVERSTOCK REVIEW","P2 - OVERSTOCK",IF(Z89="REPLENISHMENT REVIEW","P2 - REPLENISH","P3 - MONITOR"))))</f>
        <v/>
      </c>
      <c r="AC89" s="10" t="n">
        <v>4890.186</v>
      </c>
      <c r="AD89" s="10" t="n">
        <v>3904.3245024</v>
      </c>
      <c r="AE89" s="10">
        <f>IF(OR(AD89="",H89=""),"",H89*AD89)</f>
        <v/>
      </c>
    </row>
    <row r="90">
      <c r="A90" s="13" t="inlineStr">
        <is>
          <t>2022-12-31</t>
        </is>
      </c>
      <c r="B90" s="13" t="n">
        <v>55</v>
      </c>
      <c r="C90" s="14" t="inlineStr">
        <is>
          <t>DragonWear RP-10</t>
        </is>
      </c>
      <c r="D90" s="14" t="inlineStr">
        <is>
          <t>Outdoor</t>
        </is>
      </c>
      <c r="E90" s="13" t="inlineStr">
        <is>
          <t>Activewear</t>
        </is>
      </c>
      <c r="F90" s="13" t="inlineStr">
        <is>
          <t>XL</t>
        </is>
      </c>
      <c r="G90" s="13" t="inlineStr">
        <is>
          <t>purple</t>
        </is>
      </c>
      <c r="H90" s="15" t="n">
        <v>4</v>
      </c>
      <c r="I90" s="15" t="n">
        <v>1</v>
      </c>
      <c r="J90" s="16" t="n">
        <v>1</v>
      </c>
      <c r="K90" s="16">
        <f>IFERROR(J90/30,0)</f>
        <v/>
      </c>
      <c r="L90" s="15" t="n">
        <v>1</v>
      </c>
      <c r="M90" s="17" t="n">
        <v>0.9667</v>
      </c>
      <c r="N90" s="15" t="n">
        <v>1</v>
      </c>
      <c r="O90" s="15" t="n">
        <v>1</v>
      </c>
      <c r="P90" s="15" t="n">
        <v>0</v>
      </c>
      <c r="Q90" s="12" t="n">
        <v>0</v>
      </c>
      <c r="R90" s="12" t="n">
        <v>0</v>
      </c>
      <c r="S90" s="15">
        <f>H90+Q90-R90</f>
        <v/>
      </c>
      <c r="T90" s="12" t="n">
        <v>14</v>
      </c>
      <c r="U90" s="12" t="n">
        <v>7</v>
      </c>
      <c r="V90" s="12" t="n">
        <v>7</v>
      </c>
      <c r="W90" s="16">
        <f>K90*(T90+U90)</f>
        <v/>
      </c>
      <c r="X90" s="16">
        <f>K90*(T90+U90+V90)</f>
        <v/>
      </c>
      <c r="Y90" s="16">
        <f>IF(K90&gt;0,H90/K90,99999)</f>
        <v/>
      </c>
      <c r="Z90" s="14">
        <f>IF(AND(OR(L90&gt;=1,M90&lt;0.95),Y90&gt;120),"DATA CONFLICT - VERIFY",IF(OR(L90&gt;=1,M90&lt;0.95,Y90&lt;=14),"SERVICE / STOCKOUT REVIEW",IF(Y90&gt;120,"OVERSTOCK REVIEW",IF(S90&lt;=W90,"REPLENISHMENT REVIEW","NORMAL MONITORING"))))</f>
        <v/>
      </c>
      <c r="AA90" s="15">
        <f>IF(OR(Z90="DATA CONFLICT - VERIFY",Z90="SERVICE / STOCKOUT REVIEW"),0,IF(S90&lt;=W90,MAX(0,ROUNDUP(X90-S90,0)),0))</f>
        <v/>
      </c>
      <c r="AB90" s="14">
        <f>IF(Z90="DATA CONFLICT - VERIFY","P1 - DATA CONFLICT",IF(Z90="SERVICE / STOCKOUT REVIEW","P1 - SERVICE",IF(Z90="OVERSTOCK REVIEW","P2 - OVERSTOCK",IF(Z90="REPLENISHMENT REVIEW","P2 - REPLENISH","P3 - MONITOR"))))</f>
        <v/>
      </c>
      <c r="AC90" s="16" t="n">
        <v>4890.186</v>
      </c>
      <c r="AD90" s="16" t="n">
        <v>4645.676699999999</v>
      </c>
      <c r="AE90" s="16">
        <f>IF(OR(AD90="",H90=""),"",H90*AD90)</f>
        <v/>
      </c>
    </row>
    <row r="91">
      <c r="A91" s="7" t="inlineStr">
        <is>
          <t>2022-12-31</t>
        </is>
      </c>
      <c r="B91" s="7" t="n">
        <v>58</v>
      </c>
      <c r="C91" s="8" t="inlineStr">
        <is>
          <t>DragonWear RP-13</t>
        </is>
      </c>
      <c r="D91" s="8" t="inlineStr">
        <is>
          <t>Outdoor</t>
        </is>
      </c>
      <c r="E91" s="7" t="inlineStr">
        <is>
          <t>Activewear</t>
        </is>
      </c>
      <c r="F91" s="7" t="inlineStr">
        <is>
          <t>L</t>
        </is>
      </c>
      <c r="G91" s="7" t="inlineStr">
        <is>
          <t>pink</t>
        </is>
      </c>
      <c r="H91" s="9" t="n">
        <v>3</v>
      </c>
      <c r="I91" s="9" t="n">
        <v>1</v>
      </c>
      <c r="J91" s="10" t="n">
        <v>1</v>
      </c>
      <c r="K91" s="10">
        <f>IFERROR(J91/30,0)</f>
        <v/>
      </c>
      <c r="L91" s="9" t="n">
        <v>0</v>
      </c>
      <c r="M91" s="11" t="n">
        <v>1</v>
      </c>
      <c r="N91" s="9" t="n">
        <v>0</v>
      </c>
      <c r="O91" s="9" t="n">
        <v>0</v>
      </c>
      <c r="P91" s="9" t="n">
        <v>0</v>
      </c>
      <c r="Q91" s="12" t="n">
        <v>0</v>
      </c>
      <c r="R91" s="12" t="n">
        <v>0</v>
      </c>
      <c r="S91" s="9">
        <f>H91+Q91-R91</f>
        <v/>
      </c>
      <c r="T91" s="12" t="n">
        <v>14</v>
      </c>
      <c r="U91" s="12" t="n">
        <v>7</v>
      </c>
      <c r="V91" s="12" t="n">
        <v>7</v>
      </c>
      <c r="W91" s="10">
        <f>K91*(T91+U91)</f>
        <v/>
      </c>
      <c r="X91" s="10">
        <f>K91*(T91+U91+V91)</f>
        <v/>
      </c>
      <c r="Y91" s="10">
        <f>IF(K91&gt;0,H91/K91,99999)</f>
        <v/>
      </c>
      <c r="Z91" s="8">
        <f>IF(AND(OR(L91&gt;=1,M91&lt;0.95),Y91&gt;120),"DATA CONFLICT - VERIFY",IF(OR(L91&gt;=1,M91&lt;0.95,Y91&lt;=14),"SERVICE / STOCKOUT REVIEW",IF(Y91&gt;120,"OVERSTOCK REVIEW",IF(S91&lt;=W91,"REPLENISHMENT REVIEW","NORMAL MONITORING"))))</f>
        <v/>
      </c>
      <c r="AA91" s="9">
        <f>IF(OR(Z91="DATA CONFLICT - VERIFY",Z91="SERVICE / STOCKOUT REVIEW"),0,IF(S91&lt;=W91,MAX(0,ROUNDUP(X91-S91,0)),0))</f>
        <v/>
      </c>
      <c r="AB91" s="8">
        <f>IF(Z91="DATA CONFLICT - VERIFY","P1 - DATA CONFLICT",IF(Z91="SERVICE / STOCKOUT REVIEW","P1 - SERVICE",IF(Z91="OVERSTOCK REVIEW","P2 - OVERSTOCK",IF(Z91="REPLENISHMENT REVIEW","P2 - REPLENISH","P3 - MONITOR"))))</f>
        <v/>
      </c>
      <c r="AC91" s="10" t="n">
        <v>4325.34375</v>
      </c>
      <c r="AD91" s="10" t="n">
        <v>3115.11256875</v>
      </c>
      <c r="AE91" s="10">
        <f>IF(OR(AD91="",H91=""),"",H91*AD91)</f>
        <v/>
      </c>
    </row>
    <row r="92">
      <c r="A92" s="13" t="inlineStr">
        <is>
          <t>2022-12-31</t>
        </is>
      </c>
      <c r="B92" s="13" t="n">
        <v>59</v>
      </c>
      <c r="C92" s="14" t="inlineStr">
        <is>
          <t>DragonWear RP-14</t>
        </is>
      </c>
      <c r="D92" s="14" t="inlineStr">
        <is>
          <t>Outdoor</t>
        </is>
      </c>
      <c r="E92" s="13" t="inlineStr">
        <is>
          <t>Activewear</t>
        </is>
      </c>
      <c r="F92" s="13" t="inlineStr">
        <is>
          <t>XL</t>
        </is>
      </c>
      <c r="G92" s="13" t="inlineStr">
        <is>
          <t>yellow</t>
        </is>
      </c>
      <c r="H92" s="15" t="n">
        <v>5</v>
      </c>
      <c r="I92" s="15" t="n">
        <v>1</v>
      </c>
      <c r="J92" s="16" t="n">
        <v>1</v>
      </c>
      <c r="K92" s="16">
        <f>IFERROR(J92/30,0)</f>
        <v/>
      </c>
      <c r="L92" s="15" t="n">
        <v>1</v>
      </c>
      <c r="M92" s="17" t="n">
        <v>0.9667</v>
      </c>
      <c r="N92" s="15" t="n">
        <v>1</v>
      </c>
      <c r="O92" s="15" t="n">
        <v>1</v>
      </c>
      <c r="P92" s="15" t="n">
        <v>0</v>
      </c>
      <c r="Q92" s="12" t="n">
        <v>0</v>
      </c>
      <c r="R92" s="12" t="n">
        <v>0</v>
      </c>
      <c r="S92" s="15">
        <f>H92+Q92-R92</f>
        <v/>
      </c>
      <c r="T92" s="12" t="n">
        <v>14</v>
      </c>
      <c r="U92" s="12" t="n">
        <v>7</v>
      </c>
      <c r="V92" s="12" t="n">
        <v>7</v>
      </c>
      <c r="W92" s="16">
        <f>K92*(T92+U92)</f>
        <v/>
      </c>
      <c r="X92" s="16">
        <f>K92*(T92+U92+V92)</f>
        <v/>
      </c>
      <c r="Y92" s="16">
        <f>IF(K92&gt;0,H92/K92,99999)</f>
        <v/>
      </c>
      <c r="Z92" s="14">
        <f>IF(AND(OR(L92&gt;=1,M92&lt;0.95),Y92&gt;120),"DATA CONFLICT - VERIFY",IF(OR(L92&gt;=1,M92&lt;0.95,Y92&lt;=14),"SERVICE / STOCKOUT REVIEW",IF(Y92&gt;120,"OVERSTOCK REVIEW",IF(S92&lt;=W92,"REPLENISHMENT REVIEW","NORMAL MONITORING"))))</f>
        <v/>
      </c>
      <c r="AA92" s="15">
        <f>IF(OR(Z92="DATA CONFLICT - VERIFY",Z92="SERVICE / STOCKOUT REVIEW"),0,IF(S92&lt;=W92,MAX(0,ROUNDUP(X92-S92,0)),0))</f>
        <v/>
      </c>
      <c r="AB92" s="14">
        <f>IF(Z92="DATA CONFLICT - VERIFY","P1 - DATA CONFLICT",IF(Z92="SERVICE / STOCKOUT REVIEW","P1 - SERVICE",IF(Z92="OVERSTOCK REVIEW","P2 - OVERSTOCK",IF(Z92="REPLENISHMENT REVIEW","P2 - REPLENISH","P3 - MONITOR"))))</f>
        <v/>
      </c>
      <c r="AC92" s="16" t="n">
        <v>4325.34375</v>
      </c>
      <c r="AD92" s="16" t="n">
        <v>3585.70996875</v>
      </c>
      <c r="AE92" s="16">
        <f>IF(OR(AD92="",H92=""),"",H92*AD92)</f>
        <v/>
      </c>
    </row>
    <row r="93">
      <c r="A93" s="7" t="inlineStr">
        <is>
          <t>2022-12-31</t>
        </is>
      </c>
      <c r="B93" s="7" t="n">
        <v>66</v>
      </c>
      <c r="C93" s="8" t="inlineStr">
        <is>
          <t>DragonWear RP-21</t>
        </is>
      </c>
      <c r="D93" s="8" t="inlineStr">
        <is>
          <t>Outdoor</t>
        </is>
      </c>
      <c r="E93" s="7" t="inlineStr">
        <is>
          <t>Activewear</t>
        </is>
      </c>
      <c r="F93" s="7" t="inlineStr">
        <is>
          <t>L</t>
        </is>
      </c>
      <c r="G93" s="7" t="inlineStr">
        <is>
          <t>green</t>
        </is>
      </c>
      <c r="H93" s="9" t="n">
        <v>3</v>
      </c>
      <c r="I93" s="9" t="n">
        <v>1</v>
      </c>
      <c r="J93" s="10" t="n">
        <v>1</v>
      </c>
      <c r="K93" s="10">
        <f>IFERROR(J93/30,0)</f>
        <v/>
      </c>
      <c r="L93" s="9" t="n">
        <v>0</v>
      </c>
      <c r="M93" s="11" t="n">
        <v>1</v>
      </c>
      <c r="N93" s="9" t="n">
        <v>0</v>
      </c>
      <c r="O93" s="9" t="n">
        <v>0</v>
      </c>
      <c r="P93" s="9" t="n">
        <v>0</v>
      </c>
      <c r="Q93" s="12" t="n">
        <v>0</v>
      </c>
      <c r="R93" s="12" t="n">
        <v>0</v>
      </c>
      <c r="S93" s="9">
        <f>H93+Q93-R93</f>
        <v/>
      </c>
      <c r="T93" s="12" t="n">
        <v>14</v>
      </c>
      <c r="U93" s="12" t="n">
        <v>7</v>
      </c>
      <c r="V93" s="12" t="n">
        <v>7</v>
      </c>
      <c r="W93" s="10">
        <f>K93*(T93+U93)</f>
        <v/>
      </c>
      <c r="X93" s="10">
        <f>K93*(T93+U93+V93)</f>
        <v/>
      </c>
      <c r="Y93" s="10">
        <f>IF(K93&gt;0,H93/K93,99999)</f>
        <v/>
      </c>
      <c r="Z93" s="8">
        <f>IF(AND(OR(L93&gt;=1,M93&lt;0.95),Y93&gt;120),"DATA CONFLICT - VERIFY",IF(OR(L93&gt;=1,M93&lt;0.95,Y93&lt;=14),"SERVICE / STOCKOUT REVIEW",IF(Y93&gt;120,"OVERSTOCK REVIEW",IF(S93&lt;=W93,"REPLENISHMENT REVIEW","NORMAL MONITORING"))))</f>
        <v/>
      </c>
      <c r="AA93" s="9">
        <f>IF(OR(Z93="DATA CONFLICT - VERIFY",Z93="SERVICE / STOCKOUT REVIEW"),0,IF(S93&lt;=W93,MAX(0,ROUNDUP(X93-S93,0)),0))</f>
        <v/>
      </c>
      <c r="AB93" s="8">
        <f>IF(Z93="DATA CONFLICT - VERIFY","P1 - DATA CONFLICT",IF(Z93="SERVICE / STOCKOUT REVIEW","P1 - SERVICE",IF(Z93="OVERSTOCK REVIEW","P2 - OVERSTOCK",IF(Z93="REPLENISHMENT REVIEW","P2 - REPLENISH","P3 - MONITOR"))))</f>
        <v/>
      </c>
      <c r="AC93" s="10" t="n">
        <v>5043.402</v>
      </c>
      <c r="AD93" s="10" t="n">
        <v>4791.2319</v>
      </c>
      <c r="AE93" s="10">
        <f>IF(OR(AD93="",H93=""),"",H93*AD93)</f>
        <v/>
      </c>
    </row>
    <row r="94">
      <c r="A94" s="13" t="inlineStr">
        <is>
          <t>2022-12-31</t>
        </is>
      </c>
      <c r="B94" s="13" t="n">
        <v>67</v>
      </c>
      <c r="C94" s="14" t="inlineStr">
        <is>
          <t>DragonWear RP-22</t>
        </is>
      </c>
      <c r="D94" s="14" t="inlineStr">
        <is>
          <t>Outdoor</t>
        </is>
      </c>
      <c r="E94" s="13" t="inlineStr">
        <is>
          <t>Activewear</t>
        </is>
      </c>
      <c r="F94" s="13" t="inlineStr">
        <is>
          <t>XL</t>
        </is>
      </c>
      <c r="G94" s="13" t="inlineStr">
        <is>
          <t>silver</t>
        </is>
      </c>
      <c r="H94" s="15" t="n">
        <v>3</v>
      </c>
      <c r="I94" s="15" t="n">
        <v>1</v>
      </c>
      <c r="J94" s="16" t="n">
        <v>1</v>
      </c>
      <c r="K94" s="16">
        <f>IFERROR(J94/30,0)</f>
        <v/>
      </c>
      <c r="L94" s="15" t="n">
        <v>2</v>
      </c>
      <c r="M94" s="17" t="n">
        <v>0.9333</v>
      </c>
      <c r="N94" s="15" t="n">
        <v>1</v>
      </c>
      <c r="O94" s="15" t="n">
        <v>0</v>
      </c>
      <c r="P94" s="15" t="n">
        <v>0</v>
      </c>
      <c r="Q94" s="12" t="n">
        <v>0</v>
      </c>
      <c r="R94" s="12" t="n">
        <v>0</v>
      </c>
      <c r="S94" s="15">
        <f>H94+Q94-R94</f>
        <v/>
      </c>
      <c r="T94" s="12" t="n">
        <v>14</v>
      </c>
      <c r="U94" s="12" t="n">
        <v>7</v>
      </c>
      <c r="V94" s="12" t="n">
        <v>7</v>
      </c>
      <c r="W94" s="16">
        <f>K94*(T94+U94)</f>
        <v/>
      </c>
      <c r="X94" s="16">
        <f>K94*(T94+U94+V94)</f>
        <v/>
      </c>
      <c r="Y94" s="16">
        <f>IF(K94&gt;0,H94/K94,99999)</f>
        <v/>
      </c>
      <c r="Z94" s="14">
        <f>IF(AND(OR(L94&gt;=1,M94&lt;0.95),Y94&gt;120),"DATA CONFLICT - VERIFY",IF(OR(L94&gt;=1,M94&lt;0.95,Y94&lt;=14),"SERVICE / STOCKOUT REVIEW",IF(Y94&gt;120,"OVERSTOCK REVIEW",IF(S94&lt;=W94,"REPLENISHMENT REVIEW","NORMAL MONITORING"))))</f>
        <v/>
      </c>
      <c r="AA94" s="15">
        <f>IF(OR(Z94="DATA CONFLICT - VERIFY",Z94="SERVICE / STOCKOUT REVIEW"),0,IF(S94&lt;=W94,MAX(0,ROUNDUP(X94-S94,0)),0))</f>
        <v/>
      </c>
      <c r="AB94" s="14">
        <f>IF(Z94="DATA CONFLICT - VERIFY","P1 - DATA CONFLICT",IF(Z94="SERVICE / STOCKOUT REVIEW","P1 - SERVICE",IF(Z94="OVERSTOCK REVIEW","P2 - OVERSTOCK",IF(Z94="REPLENISHMENT REVIEW","P2 - REPLENISH","P3 - MONITOR"))))</f>
        <v/>
      </c>
      <c r="AC94" s="16" t="n">
        <v>5043.402</v>
      </c>
      <c r="AD94" s="16" t="n">
        <v>4436.176399200001</v>
      </c>
      <c r="AE94" s="16">
        <f>IF(OR(AD94="",H94=""),"",H94*AD94)</f>
        <v/>
      </c>
    </row>
    <row r="95">
      <c r="A95" s="7" t="inlineStr">
        <is>
          <t>2022-12-31</t>
        </is>
      </c>
      <c r="B95" s="7" t="n">
        <v>70</v>
      </c>
      <c r="C95" s="8" t="inlineStr">
        <is>
          <t>DragonWear RS-03</t>
        </is>
      </c>
      <c r="D95" s="8" t="inlineStr">
        <is>
          <t>Outdoor</t>
        </is>
      </c>
      <c r="E95" s="7" t="inlineStr">
        <is>
          <t>Premium</t>
        </is>
      </c>
      <c r="F95" s="7" t="inlineStr">
        <is>
          <t>L</t>
        </is>
      </c>
      <c r="G95" s="7" t="inlineStr">
        <is>
          <t>red</t>
        </is>
      </c>
      <c r="H95" s="9" t="n">
        <v>6</v>
      </c>
      <c r="I95" s="9" t="n">
        <v>1</v>
      </c>
      <c r="J95" s="10" t="n">
        <v>1.5</v>
      </c>
      <c r="K95" s="10">
        <f>IFERROR(J95/30,0)</f>
        <v/>
      </c>
      <c r="L95" s="9" t="n">
        <v>0</v>
      </c>
      <c r="M95" s="11" t="n">
        <v>1</v>
      </c>
      <c r="N95" s="9" t="n">
        <v>0</v>
      </c>
      <c r="O95" s="9" t="n">
        <v>1</v>
      </c>
      <c r="P95" s="9" t="n">
        <v>0</v>
      </c>
      <c r="Q95" s="12" t="n">
        <v>0</v>
      </c>
      <c r="R95" s="12" t="n">
        <v>0</v>
      </c>
      <c r="S95" s="9">
        <f>H95+Q95-R95</f>
        <v/>
      </c>
      <c r="T95" s="12" t="n">
        <v>14</v>
      </c>
      <c r="U95" s="12" t="n">
        <v>7</v>
      </c>
      <c r="V95" s="12" t="n">
        <v>7</v>
      </c>
      <c r="W95" s="10">
        <f>K95*(T95+U95)</f>
        <v/>
      </c>
      <c r="X95" s="10">
        <f>K95*(T95+U95+V95)</f>
        <v/>
      </c>
      <c r="Y95" s="10">
        <f>IF(K95&gt;0,H95/K95,99999)</f>
        <v/>
      </c>
      <c r="Z95" s="8">
        <f>IF(AND(OR(L95&gt;=1,M95&lt;0.95),Y95&gt;120),"DATA CONFLICT - VERIFY",IF(OR(L95&gt;=1,M95&lt;0.95,Y95&lt;=14),"SERVICE / STOCKOUT REVIEW",IF(Y95&gt;120,"OVERSTOCK REVIEW",IF(S95&lt;=W95,"REPLENISHMENT REVIEW","NORMAL MONITORING"))))</f>
        <v/>
      </c>
      <c r="AA95" s="9">
        <f>IF(OR(Z95="DATA CONFLICT - VERIFY",Z95="SERVICE / STOCKOUT REVIEW"),0,IF(S95&lt;=W95,MAX(0,ROUNDUP(X95-S95,0)),0))</f>
        <v/>
      </c>
      <c r="AB95" s="8">
        <f>IF(Z95="DATA CONFLICT - VERIFY","P1 - DATA CONFLICT",IF(Z95="SERVICE / STOCKOUT REVIEW","P1 - SERVICE",IF(Z95="OVERSTOCK REVIEW","P2 - OVERSTOCK",IF(Z95="REPLENISHMENT REVIEW","P2 - REPLENISH","P3 - MONITOR"))))</f>
        <v/>
      </c>
      <c r="AC95" s="10" t="n">
        <v>5039.37</v>
      </c>
      <c r="AD95" s="10" t="n">
        <v>3891.401514</v>
      </c>
      <c r="AE95" s="10">
        <f>IF(OR(AD95="",H95=""),"",H95*AD95)</f>
        <v/>
      </c>
    </row>
    <row r="96">
      <c r="A96" s="13" t="inlineStr">
        <is>
          <t>2022-12-31</t>
        </is>
      </c>
      <c r="B96" s="13" t="n">
        <v>71</v>
      </c>
      <c r="C96" s="14" t="inlineStr">
        <is>
          <t>DragonWear RS-04</t>
        </is>
      </c>
      <c r="D96" s="14" t="inlineStr">
        <is>
          <t>Outdoor</t>
        </is>
      </c>
      <c r="E96" s="13" t="inlineStr">
        <is>
          <t>Premium</t>
        </is>
      </c>
      <c r="F96" s="13" t="inlineStr">
        <is>
          <t>XL</t>
        </is>
      </c>
      <c r="G96" s="13" t="inlineStr">
        <is>
          <t>black</t>
        </is>
      </c>
      <c r="H96" s="15" t="n">
        <v>3</v>
      </c>
      <c r="I96" s="15" t="n">
        <v>1</v>
      </c>
      <c r="J96" s="16" t="n">
        <v>1</v>
      </c>
      <c r="K96" s="16">
        <f>IFERROR(J96/30,0)</f>
        <v/>
      </c>
      <c r="L96" s="15" t="n">
        <v>2</v>
      </c>
      <c r="M96" s="17" t="n">
        <v>0.9333</v>
      </c>
      <c r="N96" s="15" t="n">
        <v>1</v>
      </c>
      <c r="O96" s="15" t="n">
        <v>0</v>
      </c>
      <c r="P96" s="15" t="n">
        <v>0</v>
      </c>
      <c r="Q96" s="12" t="n">
        <v>0</v>
      </c>
      <c r="R96" s="12" t="n">
        <v>0</v>
      </c>
      <c r="S96" s="15">
        <f>H96+Q96-R96</f>
        <v/>
      </c>
      <c r="T96" s="12" t="n">
        <v>14</v>
      </c>
      <c r="U96" s="12" t="n">
        <v>7</v>
      </c>
      <c r="V96" s="12" t="n">
        <v>7</v>
      </c>
      <c r="W96" s="16">
        <f>K96*(T96+U96)</f>
        <v/>
      </c>
      <c r="X96" s="16">
        <f>K96*(T96+U96+V96)</f>
        <v/>
      </c>
      <c r="Y96" s="16">
        <f>IF(K96&gt;0,H96/K96,99999)</f>
        <v/>
      </c>
      <c r="Z96" s="14">
        <f>IF(AND(OR(L96&gt;=1,M96&lt;0.95),Y96&gt;120),"DATA CONFLICT - VERIFY",IF(OR(L96&gt;=1,M96&lt;0.95,Y96&lt;=14),"SERVICE / STOCKOUT REVIEW",IF(Y96&gt;120,"OVERSTOCK REVIEW",IF(S96&lt;=W96,"REPLENISHMENT REVIEW","NORMAL MONITORING"))))</f>
        <v/>
      </c>
      <c r="AA96" s="15">
        <f>IF(OR(Z96="DATA CONFLICT - VERIFY",Z96="SERVICE / STOCKOUT REVIEW"),0,IF(S96&lt;=W96,MAX(0,ROUNDUP(X96-S96,0)),0))</f>
        <v/>
      </c>
      <c r="AB96" s="14">
        <f>IF(Z96="DATA CONFLICT - VERIFY","P1 - DATA CONFLICT",IF(Z96="SERVICE / STOCKOUT REVIEW","P1 - SERVICE",IF(Z96="OVERSTOCK REVIEW","P2 - OVERSTOCK",IF(Z96="REPLENISHMENT REVIEW","P2 - REPLENISH","P3 - MONITOR"))))</f>
        <v/>
      </c>
      <c r="AC96" s="16" t="n">
        <v>4787.37</v>
      </c>
      <c r="AD96" s="16" t="n">
        <v>4096.552509</v>
      </c>
      <c r="AE96" s="16">
        <f>IF(OR(AD96="",H96=""),"",H96*AD96)</f>
        <v/>
      </c>
    </row>
    <row r="97">
      <c r="A97" s="7" t="inlineStr">
        <is>
          <t>2022-12-31</t>
        </is>
      </c>
      <c r="B97" s="7" t="n">
        <v>73</v>
      </c>
      <c r="C97" s="8" t="inlineStr">
        <is>
          <t>DragonWear RS-06</t>
        </is>
      </c>
      <c r="D97" s="8" t="inlineStr">
        <is>
          <t>Outdoor</t>
        </is>
      </c>
      <c r="E97" s="7" t="inlineStr">
        <is>
          <t>Premium</t>
        </is>
      </c>
      <c r="F97" s="7" t="inlineStr">
        <is>
          <t>M</t>
        </is>
      </c>
      <c r="G97" s="7" t="inlineStr">
        <is>
          <t>blue</t>
        </is>
      </c>
      <c r="H97" s="9" t="n">
        <v>3</v>
      </c>
      <c r="I97" s="9" t="n">
        <v>1</v>
      </c>
      <c r="J97" s="10" t="n">
        <v>1.333333333333333</v>
      </c>
      <c r="K97" s="10">
        <f>IFERROR(J97/30,0)</f>
        <v/>
      </c>
      <c r="L97" s="9" t="n">
        <v>1</v>
      </c>
      <c r="M97" s="11" t="n">
        <v>0.9667</v>
      </c>
      <c r="N97" s="9" t="n">
        <v>1</v>
      </c>
      <c r="O97" s="9" t="n">
        <v>0</v>
      </c>
      <c r="P97" s="9" t="n">
        <v>0</v>
      </c>
      <c r="Q97" s="12" t="n">
        <v>0</v>
      </c>
      <c r="R97" s="12" t="n">
        <v>0</v>
      </c>
      <c r="S97" s="9">
        <f>H97+Q97-R97</f>
        <v/>
      </c>
      <c r="T97" s="12" t="n">
        <v>14</v>
      </c>
      <c r="U97" s="12" t="n">
        <v>7</v>
      </c>
      <c r="V97" s="12" t="n">
        <v>7</v>
      </c>
      <c r="W97" s="10">
        <f>K97*(T97+U97)</f>
        <v/>
      </c>
      <c r="X97" s="10">
        <f>K97*(T97+U97+V97)</f>
        <v/>
      </c>
      <c r="Y97" s="10">
        <f>IF(K97&gt;0,H97/K97,99999)</f>
        <v/>
      </c>
      <c r="Z97" s="8">
        <f>IF(AND(OR(L97&gt;=1,M97&lt;0.95),Y97&gt;120),"DATA CONFLICT - VERIFY",IF(OR(L97&gt;=1,M97&lt;0.95,Y97&lt;=14),"SERVICE / STOCKOUT REVIEW",IF(Y97&gt;120,"OVERSTOCK REVIEW",IF(S97&lt;=W97,"REPLENISHMENT REVIEW","NORMAL MONITORING"))))</f>
        <v/>
      </c>
      <c r="AA97" s="9">
        <f>IF(OR(Z97="DATA CONFLICT - VERIFY",Z97="SERVICE / STOCKOUT REVIEW"),0,IF(S97&lt;=W97,MAX(0,ROUNDUP(X97-S97,0)),0))</f>
        <v/>
      </c>
      <c r="AB97" s="8">
        <f>IF(Z97="DATA CONFLICT - VERIFY","P1 - DATA CONFLICT",IF(Z97="SERVICE / STOCKOUT REVIEW","P1 - SERVICE",IF(Z97="OVERSTOCK REVIEW","P2 - OVERSTOCK",IF(Z97="REPLENISHMENT REVIEW","P2 - REPLENISH","P3 - MONITOR"))))</f>
        <v/>
      </c>
      <c r="AC97" s="10" t="n">
        <v>3882.460909090909</v>
      </c>
      <c r="AD97" s="10" t="n">
        <v>3688.337863636363</v>
      </c>
      <c r="AE97" s="10">
        <f>IF(OR(AD97="",H97=""),"",H97*AD97)</f>
        <v/>
      </c>
    </row>
    <row r="98">
      <c r="A98" s="13" t="inlineStr">
        <is>
          <t>2022-12-31</t>
        </is>
      </c>
      <c r="B98" s="13" t="n">
        <v>719</v>
      </c>
      <c r="C98" s="14" t="inlineStr">
        <is>
          <t>HanoiStreet RP-07</t>
        </is>
      </c>
      <c r="D98" s="14" t="inlineStr">
        <is>
          <t>Outdoor</t>
        </is>
      </c>
      <c r="E98" s="13" t="inlineStr">
        <is>
          <t>Activewear</t>
        </is>
      </c>
      <c r="F98" s="13" t="inlineStr">
        <is>
          <t>XL</t>
        </is>
      </c>
      <c r="G98" s="13" t="inlineStr">
        <is>
          <t>yellow</t>
        </is>
      </c>
      <c r="H98" s="15" t="n">
        <v>38</v>
      </c>
      <c r="I98" s="15" t="n">
        <v>88</v>
      </c>
      <c r="J98" s="16" t="n">
        <v>38.66666666666666</v>
      </c>
      <c r="K98" s="16">
        <f>IFERROR(J98/30,0)</f>
        <v/>
      </c>
      <c r="L98" s="15" t="n">
        <v>24</v>
      </c>
      <c r="M98" s="17" t="n">
        <v>0.2</v>
      </c>
      <c r="N98" s="15" t="n">
        <v>1</v>
      </c>
      <c r="O98" s="15" t="n">
        <v>0</v>
      </c>
      <c r="P98" s="15" t="n">
        <v>0</v>
      </c>
      <c r="Q98" s="12" t="n">
        <v>0</v>
      </c>
      <c r="R98" s="12" t="n">
        <v>0</v>
      </c>
      <c r="S98" s="15">
        <f>H98+Q98-R98</f>
        <v/>
      </c>
      <c r="T98" s="12" t="n">
        <v>14</v>
      </c>
      <c r="U98" s="12" t="n">
        <v>7</v>
      </c>
      <c r="V98" s="12" t="n">
        <v>7</v>
      </c>
      <c r="W98" s="16">
        <f>K98*(T98+U98)</f>
        <v/>
      </c>
      <c r="X98" s="16">
        <f>K98*(T98+U98+V98)</f>
        <v/>
      </c>
      <c r="Y98" s="16">
        <f>IF(K98&gt;0,H98/K98,99999)</f>
        <v/>
      </c>
      <c r="Z98" s="14">
        <f>IF(AND(OR(L98&gt;=1,M98&lt;0.95),Y98&gt;120),"DATA CONFLICT - VERIFY",IF(OR(L98&gt;=1,M98&lt;0.95,Y98&lt;=14),"SERVICE / STOCKOUT REVIEW",IF(Y98&gt;120,"OVERSTOCK REVIEW",IF(S98&lt;=W98,"REPLENISHMENT REVIEW","NORMAL MONITORING"))))</f>
        <v/>
      </c>
      <c r="AA98" s="15">
        <f>IF(OR(Z98="DATA CONFLICT - VERIFY",Z98="SERVICE / STOCKOUT REVIEW"),0,IF(S98&lt;=W98,MAX(0,ROUNDUP(X98-S98,0)),0))</f>
        <v/>
      </c>
      <c r="AB98" s="14">
        <f>IF(Z98="DATA CONFLICT - VERIFY","P1 - DATA CONFLICT",IF(Z98="SERVICE / STOCKOUT REVIEW","P1 - SERVICE",IF(Z98="OVERSTOCK REVIEW","P2 - OVERSTOCK",IF(Z98="REPLENISHMENT REVIEW","P2 - REPLENISH","P3 - MONITOR"))))</f>
        <v/>
      </c>
      <c r="AC98" s="16" t="n">
        <v>1259.37</v>
      </c>
      <c r="AD98" s="16" t="n">
        <v>981.5529780000001</v>
      </c>
      <c r="AE98" s="16">
        <f>IF(OR(AD98="",H98=""),"",H98*AD98)</f>
        <v/>
      </c>
    </row>
    <row r="99">
      <c r="A99" s="7" t="inlineStr">
        <is>
          <t>2022-12-31</t>
        </is>
      </c>
      <c r="B99" s="7" t="n">
        <v>720</v>
      </c>
      <c r="C99" s="8" t="inlineStr">
        <is>
          <t>HanoiStreet RP-08</t>
        </is>
      </c>
      <c r="D99" s="8" t="inlineStr">
        <is>
          <t>Outdoor</t>
        </is>
      </c>
      <c r="E99" s="7" t="inlineStr">
        <is>
          <t>Activewear</t>
        </is>
      </c>
      <c r="F99" s="7" t="inlineStr">
        <is>
          <t>S</t>
        </is>
      </c>
      <c r="G99" s="7" t="inlineStr">
        <is>
          <t>red</t>
        </is>
      </c>
      <c r="H99" s="9" t="n">
        <v>36</v>
      </c>
      <c r="I99" s="9" t="n">
        <v>88</v>
      </c>
      <c r="J99" s="10" t="n">
        <v>38.66666666666666</v>
      </c>
      <c r="K99" s="10">
        <f>IFERROR(J99/30,0)</f>
        <v/>
      </c>
      <c r="L99" s="9" t="n">
        <v>25</v>
      </c>
      <c r="M99" s="11" t="n">
        <v>0.1667</v>
      </c>
      <c r="N99" s="9" t="n">
        <v>1</v>
      </c>
      <c r="O99" s="9" t="n">
        <v>0</v>
      </c>
      <c r="P99" s="9" t="n">
        <v>0</v>
      </c>
      <c r="Q99" s="12" t="n">
        <v>0</v>
      </c>
      <c r="R99" s="12" t="n">
        <v>0</v>
      </c>
      <c r="S99" s="9">
        <f>H99+Q99-R99</f>
        <v/>
      </c>
      <c r="T99" s="12" t="n">
        <v>14</v>
      </c>
      <c r="U99" s="12" t="n">
        <v>7</v>
      </c>
      <c r="V99" s="12" t="n">
        <v>7</v>
      </c>
      <c r="W99" s="10">
        <f>K99*(T99+U99)</f>
        <v/>
      </c>
      <c r="X99" s="10">
        <f>K99*(T99+U99+V99)</f>
        <v/>
      </c>
      <c r="Y99" s="10">
        <f>IF(K99&gt;0,H99/K99,99999)</f>
        <v/>
      </c>
      <c r="Z99" s="8">
        <f>IF(AND(OR(L99&gt;=1,M99&lt;0.95),Y99&gt;120),"DATA CONFLICT - VERIFY",IF(OR(L99&gt;=1,M99&lt;0.95,Y99&lt;=14),"SERVICE / STOCKOUT REVIEW",IF(Y99&gt;120,"OVERSTOCK REVIEW",IF(S99&lt;=W99,"REPLENISHMENT REVIEW","NORMAL MONITORING"))))</f>
        <v/>
      </c>
      <c r="AA99" s="9">
        <f>IF(OR(Z99="DATA CONFLICT - VERIFY",Z99="SERVICE / STOCKOUT REVIEW"),0,IF(S99&lt;=W99,MAX(0,ROUNDUP(X99-S99,0)),0))</f>
        <v/>
      </c>
      <c r="AB99" s="8">
        <f>IF(Z99="DATA CONFLICT - VERIFY","P1 - DATA CONFLICT",IF(Z99="SERVICE / STOCKOUT REVIEW","P1 - SERVICE",IF(Z99="OVERSTOCK REVIEW","P2 - OVERSTOCK",IF(Z99="REPLENISHMENT REVIEW","P2 - REPLENISH","P3 - MONITOR"))))</f>
        <v/>
      </c>
      <c r="AC99" s="10" t="n">
        <v>1259.37</v>
      </c>
      <c r="AD99" s="10" t="n">
        <v>742.7764259999999</v>
      </c>
      <c r="AE99" s="10">
        <f>IF(OR(AD99="",H99=""),"",H99*AD99)</f>
        <v/>
      </c>
    </row>
    <row r="100">
      <c r="A100" s="13" t="inlineStr">
        <is>
          <t>2022-12-31</t>
        </is>
      </c>
      <c r="B100" s="13" t="n">
        <v>725</v>
      </c>
      <c r="C100" s="14" t="inlineStr">
        <is>
          <t>HanoiStreet RP-13</t>
        </is>
      </c>
      <c r="D100" s="14" t="inlineStr">
        <is>
          <t>Outdoor</t>
        </is>
      </c>
      <c r="E100" s="13" t="inlineStr">
        <is>
          <t>Activewear</t>
        </is>
      </c>
      <c r="F100" s="13" t="inlineStr">
        <is>
          <t>M</t>
        </is>
      </c>
      <c r="G100" s="13" t="inlineStr">
        <is>
          <t>purple</t>
        </is>
      </c>
      <c r="H100" s="15" t="n">
        <v>1009</v>
      </c>
      <c r="I100" s="15" t="n">
        <v>1</v>
      </c>
      <c r="J100" s="16" t="n">
        <v>1</v>
      </c>
      <c r="K100" s="16">
        <f>IFERROR(J100/30,0)</f>
        <v/>
      </c>
      <c r="L100" s="15" t="n">
        <v>1</v>
      </c>
      <c r="M100" s="17" t="n">
        <v>0.9667</v>
      </c>
      <c r="N100" s="15" t="n">
        <v>1</v>
      </c>
      <c r="O100" s="15" t="n">
        <v>1</v>
      </c>
      <c r="P100" s="15" t="n">
        <v>0</v>
      </c>
      <c r="Q100" s="12" t="n">
        <v>0</v>
      </c>
      <c r="R100" s="12" t="n">
        <v>0</v>
      </c>
      <c r="S100" s="15">
        <f>H100+Q100-R100</f>
        <v/>
      </c>
      <c r="T100" s="12" t="n">
        <v>14</v>
      </c>
      <c r="U100" s="12" t="n">
        <v>7</v>
      </c>
      <c r="V100" s="12" t="n">
        <v>7</v>
      </c>
      <c r="W100" s="16">
        <f>K100*(T100+U100)</f>
        <v/>
      </c>
      <c r="X100" s="16">
        <f>K100*(T100+U100+V100)</f>
        <v/>
      </c>
      <c r="Y100" s="16">
        <f>IF(K100&gt;0,H100/K100,99999)</f>
        <v/>
      </c>
      <c r="Z100" s="14">
        <f>IF(AND(OR(L100&gt;=1,M100&lt;0.95),Y100&gt;120),"DATA CONFLICT - VERIFY",IF(OR(L100&gt;=1,M100&lt;0.95,Y100&lt;=14),"SERVICE / STOCKOUT REVIEW",IF(Y100&gt;120,"OVERSTOCK REVIEW",IF(S100&lt;=W100,"REPLENISHMENT REVIEW","NORMAL MONITORING"))))</f>
        <v/>
      </c>
      <c r="AA100" s="15">
        <f>IF(OR(Z100="DATA CONFLICT - VERIFY",Z100="SERVICE / STOCKOUT REVIEW"),0,IF(S100&lt;=W100,MAX(0,ROUNDUP(X100-S100,0)),0))</f>
        <v/>
      </c>
      <c r="AB100" s="14">
        <f>IF(Z100="DATA CONFLICT - VERIFY","P1 - DATA CONFLICT",IF(Z100="SERVICE / STOCKOUT REVIEW","P1 - SERVICE",IF(Z100="OVERSTOCK REVIEW","P2 - OVERSTOCK",IF(Z100="REPLENISHMENT REVIEW","P2 - REPLENISH","P3 - MONITOR"))))</f>
        <v/>
      </c>
      <c r="AC100" s="16" t="n">
        <v>1341.312711864406</v>
      </c>
      <c r="AD100" s="16" t="n">
        <v>1274.247076271186</v>
      </c>
      <c r="AE100" s="16">
        <f>IF(OR(AD100="",H100=""),"",H100*AD100)</f>
        <v/>
      </c>
    </row>
    <row r="101">
      <c r="A101" s="7" t="inlineStr">
        <is>
          <t>2022-12-31</t>
        </is>
      </c>
      <c r="B101" s="7" t="n">
        <v>726</v>
      </c>
      <c r="C101" s="8" t="inlineStr">
        <is>
          <t>HanoiStreet RP-14</t>
        </is>
      </c>
      <c r="D101" s="8" t="inlineStr">
        <is>
          <t>Outdoor</t>
        </is>
      </c>
      <c r="E101" s="7" t="inlineStr">
        <is>
          <t>Activewear</t>
        </is>
      </c>
      <c r="F101" s="7" t="inlineStr">
        <is>
          <t>L</t>
        </is>
      </c>
      <c r="G101" s="7" t="inlineStr">
        <is>
          <t>green</t>
        </is>
      </c>
      <c r="H101" s="9" t="n">
        <v>906</v>
      </c>
      <c r="I101" s="9" t="n">
        <v>1</v>
      </c>
      <c r="J101" s="10" t="n">
        <v>1</v>
      </c>
      <c r="K101" s="10">
        <f>IFERROR(J101/30,0)</f>
        <v/>
      </c>
      <c r="L101" s="9" t="n">
        <v>1</v>
      </c>
      <c r="M101" s="11" t="n">
        <v>0.9667</v>
      </c>
      <c r="N101" s="9" t="n">
        <v>1</v>
      </c>
      <c r="O101" s="9" t="n">
        <v>1</v>
      </c>
      <c r="P101" s="9" t="n">
        <v>0</v>
      </c>
      <c r="Q101" s="12" t="n">
        <v>0</v>
      </c>
      <c r="R101" s="12" t="n">
        <v>0</v>
      </c>
      <c r="S101" s="9">
        <f>H101+Q101-R101</f>
        <v/>
      </c>
      <c r="T101" s="12" t="n">
        <v>14</v>
      </c>
      <c r="U101" s="12" t="n">
        <v>7</v>
      </c>
      <c r="V101" s="12" t="n">
        <v>7</v>
      </c>
      <c r="W101" s="10">
        <f>K101*(T101+U101)</f>
        <v/>
      </c>
      <c r="X101" s="10">
        <f>K101*(T101+U101+V101)</f>
        <v/>
      </c>
      <c r="Y101" s="10">
        <f>IF(K101&gt;0,H101/K101,99999)</f>
        <v/>
      </c>
      <c r="Z101" s="8">
        <f>IF(AND(OR(L101&gt;=1,M101&lt;0.95),Y101&gt;120),"DATA CONFLICT - VERIFY",IF(OR(L101&gt;=1,M101&lt;0.95,Y101&lt;=14),"SERVICE / STOCKOUT REVIEW",IF(Y101&gt;120,"OVERSTOCK REVIEW",IF(S101&lt;=W101,"REPLENISHMENT REVIEW","NORMAL MONITORING"))))</f>
        <v/>
      </c>
      <c r="AA101" s="9">
        <f>IF(OR(Z101="DATA CONFLICT - VERIFY",Z101="SERVICE / STOCKOUT REVIEW"),0,IF(S101&lt;=W101,MAX(0,ROUNDUP(X101-S101,0)),0))</f>
        <v/>
      </c>
      <c r="AB101" s="8">
        <f>IF(Z101="DATA CONFLICT - VERIFY","P1 - DATA CONFLICT",IF(Z101="SERVICE / STOCKOUT REVIEW","P1 - SERVICE",IF(Z101="OVERSTOCK REVIEW","P2 - OVERSTOCK",IF(Z101="REPLENISHMENT REVIEW","P2 - REPLENISH","P3 - MONITOR"))))</f>
        <v/>
      </c>
      <c r="AC101" s="10" t="n">
        <v>1341.312711864406</v>
      </c>
      <c r="AD101" s="10" t="n">
        <v>1274.247076271186</v>
      </c>
      <c r="AE101" s="10">
        <f>IF(OR(AD101="",H101=""),"",H101*AD101)</f>
        <v/>
      </c>
    </row>
    <row r="102">
      <c r="A102" s="13" t="inlineStr">
        <is>
          <t>2022-12-31</t>
        </is>
      </c>
      <c r="B102" s="13" t="n">
        <v>733</v>
      </c>
      <c r="C102" s="14" t="inlineStr">
        <is>
          <t>HanoiStreet RP-21</t>
        </is>
      </c>
      <c r="D102" s="14" t="inlineStr">
        <is>
          <t>Outdoor</t>
        </is>
      </c>
      <c r="E102" s="13" t="inlineStr">
        <is>
          <t>Activewear</t>
        </is>
      </c>
      <c r="F102" s="13" t="inlineStr">
        <is>
          <t>M</t>
        </is>
      </c>
      <c r="G102" s="13" t="inlineStr">
        <is>
          <t>blue</t>
        </is>
      </c>
      <c r="H102" s="15" t="n">
        <v>1346</v>
      </c>
      <c r="I102" s="15" t="n">
        <v>3</v>
      </c>
      <c r="J102" s="16" t="n">
        <v>3</v>
      </c>
      <c r="K102" s="16">
        <f>IFERROR(J102/30,0)</f>
        <v/>
      </c>
      <c r="L102" s="15" t="n">
        <v>0</v>
      </c>
      <c r="M102" s="17" t="n">
        <v>1</v>
      </c>
      <c r="N102" s="15" t="n">
        <v>0</v>
      </c>
      <c r="O102" s="15" t="n">
        <v>1</v>
      </c>
      <c r="P102" s="15" t="n">
        <v>0</v>
      </c>
      <c r="Q102" s="12" t="n">
        <v>0</v>
      </c>
      <c r="R102" s="12" t="n">
        <v>0</v>
      </c>
      <c r="S102" s="15">
        <f>H102+Q102-R102</f>
        <v/>
      </c>
      <c r="T102" s="12" t="n">
        <v>14</v>
      </c>
      <c r="U102" s="12" t="n">
        <v>7</v>
      </c>
      <c r="V102" s="12" t="n">
        <v>7</v>
      </c>
      <c r="W102" s="16">
        <f>K102*(T102+U102)</f>
        <v/>
      </c>
      <c r="X102" s="16">
        <f>K102*(T102+U102+V102)</f>
        <v/>
      </c>
      <c r="Y102" s="16">
        <f>IF(K102&gt;0,H102/K102,99999)</f>
        <v/>
      </c>
      <c r="Z102" s="14">
        <f>IF(AND(OR(L102&gt;=1,M102&lt;0.95),Y102&gt;120),"DATA CONFLICT - VERIFY",IF(OR(L102&gt;=1,M102&lt;0.95,Y102&lt;=14),"SERVICE / STOCKOUT REVIEW",IF(Y102&gt;120,"OVERSTOCK REVIEW",IF(S102&lt;=W102,"REPLENISHMENT REVIEW","NORMAL MONITORING"))))</f>
        <v/>
      </c>
      <c r="AA102" s="15">
        <f>IF(OR(Z102="DATA CONFLICT - VERIFY",Z102="SERVICE / STOCKOUT REVIEW"),0,IF(S102&lt;=W102,MAX(0,ROUNDUP(X102-S102,0)),0))</f>
        <v/>
      </c>
      <c r="AB102" s="14">
        <f>IF(Z102="DATA CONFLICT - VERIFY","P1 - DATA CONFLICT",IF(Z102="SERVICE / STOCKOUT REVIEW","P1 - SERVICE",IF(Z102="OVERSTOCK REVIEW","P2 - OVERSTOCK",IF(Z102="REPLENISHMENT REVIEW","P2 - REPLENISH","P3 - MONITOR"))))</f>
        <v/>
      </c>
      <c r="AC102" s="16" t="n">
        <v>4376.45179245283</v>
      </c>
      <c r="AD102" s="16" t="n">
        <v>2285.383126018868</v>
      </c>
      <c r="AE102" s="16">
        <f>IF(OR(AD102="",H102=""),"",H102*AD102)</f>
        <v/>
      </c>
    </row>
    <row r="103">
      <c r="A103" s="7" t="inlineStr">
        <is>
          <t>2022-12-31</t>
        </is>
      </c>
      <c r="B103" s="7" t="n">
        <v>734</v>
      </c>
      <c r="C103" s="8" t="inlineStr">
        <is>
          <t>HanoiStreet RP-22</t>
        </is>
      </c>
      <c r="D103" s="8" t="inlineStr">
        <is>
          <t>Outdoor</t>
        </is>
      </c>
      <c r="E103" s="7" t="inlineStr">
        <is>
          <t>Activewear</t>
        </is>
      </c>
      <c r="F103" s="7" t="inlineStr">
        <is>
          <t>L</t>
        </is>
      </c>
      <c r="G103" s="7" t="inlineStr">
        <is>
          <t>white</t>
        </is>
      </c>
      <c r="H103" s="9" t="n">
        <v>1402</v>
      </c>
      <c r="I103" s="9" t="n">
        <v>3</v>
      </c>
      <c r="J103" s="10" t="n">
        <v>3</v>
      </c>
      <c r="K103" s="10">
        <f>IFERROR(J103/30,0)</f>
        <v/>
      </c>
      <c r="L103" s="9" t="n">
        <v>1</v>
      </c>
      <c r="M103" s="11" t="n">
        <v>0.9667</v>
      </c>
      <c r="N103" s="9" t="n">
        <v>1</v>
      </c>
      <c r="O103" s="9" t="n">
        <v>1</v>
      </c>
      <c r="P103" s="9" t="n">
        <v>0</v>
      </c>
      <c r="Q103" s="12" t="n">
        <v>0</v>
      </c>
      <c r="R103" s="12" t="n">
        <v>0</v>
      </c>
      <c r="S103" s="9">
        <f>H103+Q103-R103</f>
        <v/>
      </c>
      <c r="T103" s="12" t="n">
        <v>14</v>
      </c>
      <c r="U103" s="12" t="n">
        <v>7</v>
      </c>
      <c r="V103" s="12" t="n">
        <v>7</v>
      </c>
      <c r="W103" s="10">
        <f>K103*(T103+U103)</f>
        <v/>
      </c>
      <c r="X103" s="10">
        <f>K103*(T103+U103+V103)</f>
        <v/>
      </c>
      <c r="Y103" s="10">
        <f>IF(K103&gt;0,H103/K103,99999)</f>
        <v/>
      </c>
      <c r="Z103" s="8">
        <f>IF(AND(OR(L103&gt;=1,M103&lt;0.95),Y103&gt;120),"DATA CONFLICT - VERIFY",IF(OR(L103&gt;=1,M103&lt;0.95,Y103&lt;=14),"SERVICE / STOCKOUT REVIEW",IF(Y103&gt;120,"OVERSTOCK REVIEW",IF(S103&lt;=W103,"REPLENISHMENT REVIEW","NORMAL MONITORING"))))</f>
        <v/>
      </c>
      <c r="AA103" s="9">
        <f>IF(OR(Z103="DATA CONFLICT - VERIFY",Z103="SERVICE / STOCKOUT REVIEW"),0,IF(S103&lt;=W103,MAX(0,ROUNDUP(X103-S103,0)),0))</f>
        <v/>
      </c>
      <c r="AB103" s="8">
        <f>IF(Z103="DATA CONFLICT - VERIFY","P1 - DATA CONFLICT",IF(Z103="SERVICE / STOCKOUT REVIEW","P1 - SERVICE",IF(Z103="OVERSTOCK REVIEW","P2 - OVERSTOCK",IF(Z103="REPLENISHMENT REVIEW","P2 - REPLENISH","P3 - MONITOR"))))</f>
        <v/>
      </c>
      <c r="AC103" s="10" t="n">
        <v>4376.45179245283</v>
      </c>
      <c r="AD103" s="10" t="n">
        <v>3725.673410915094</v>
      </c>
      <c r="AE103" s="10">
        <f>IF(OR(AD103="",H103=""),"",H103*AD103)</f>
        <v/>
      </c>
    </row>
    <row r="104">
      <c r="A104" s="13" t="inlineStr">
        <is>
          <t>2022-12-31</t>
        </is>
      </c>
      <c r="B104" s="13" t="n">
        <v>735</v>
      </c>
      <c r="C104" s="14" t="inlineStr">
        <is>
          <t>HanoiStreet RP-23</t>
        </is>
      </c>
      <c r="D104" s="14" t="inlineStr">
        <is>
          <t>Outdoor</t>
        </is>
      </c>
      <c r="E104" s="13" t="inlineStr">
        <is>
          <t>Activewear</t>
        </is>
      </c>
      <c r="F104" s="13" t="inlineStr">
        <is>
          <t>XL</t>
        </is>
      </c>
      <c r="G104" s="13" t="inlineStr">
        <is>
          <t>purple</t>
        </is>
      </c>
      <c r="H104" s="15" t="n">
        <v>729</v>
      </c>
      <c r="I104" s="15" t="n">
        <v>9</v>
      </c>
      <c r="J104" s="16" t="n">
        <v>6.666666666666667</v>
      </c>
      <c r="K104" s="16">
        <f>IFERROR(J104/30,0)</f>
        <v/>
      </c>
      <c r="L104" s="15" t="n">
        <v>1</v>
      </c>
      <c r="M104" s="17" t="n">
        <v>0.9667</v>
      </c>
      <c r="N104" s="15" t="n">
        <v>1</v>
      </c>
      <c r="O104" s="15" t="n">
        <v>1</v>
      </c>
      <c r="P104" s="15" t="n">
        <v>0</v>
      </c>
      <c r="Q104" s="12" t="n">
        <v>0</v>
      </c>
      <c r="R104" s="12" t="n">
        <v>0</v>
      </c>
      <c r="S104" s="15">
        <f>H104+Q104-R104</f>
        <v/>
      </c>
      <c r="T104" s="12" t="n">
        <v>14</v>
      </c>
      <c r="U104" s="12" t="n">
        <v>7</v>
      </c>
      <c r="V104" s="12" t="n">
        <v>7</v>
      </c>
      <c r="W104" s="16">
        <f>K104*(T104+U104)</f>
        <v/>
      </c>
      <c r="X104" s="16">
        <f>K104*(T104+U104+V104)</f>
        <v/>
      </c>
      <c r="Y104" s="16">
        <f>IF(K104&gt;0,H104/K104,99999)</f>
        <v/>
      </c>
      <c r="Z104" s="14">
        <f>IF(AND(OR(L104&gt;=1,M104&lt;0.95),Y104&gt;120),"DATA CONFLICT - VERIFY",IF(OR(L104&gt;=1,M104&lt;0.95,Y104&lt;=14),"SERVICE / STOCKOUT REVIEW",IF(Y104&gt;120,"OVERSTOCK REVIEW",IF(S104&lt;=W104,"REPLENISHMENT REVIEW","NORMAL MONITORING"))))</f>
        <v/>
      </c>
      <c r="AA104" s="15">
        <f>IF(OR(Z104="DATA CONFLICT - VERIFY",Z104="SERVICE / STOCKOUT REVIEW"),0,IF(S104&lt;=W104,MAX(0,ROUNDUP(X104-S104,0)),0))</f>
        <v/>
      </c>
      <c r="AB104" s="14">
        <f>IF(Z104="DATA CONFLICT - VERIFY","P1 - DATA CONFLICT",IF(Z104="SERVICE / STOCKOUT REVIEW","P1 - SERVICE",IF(Z104="OVERSTOCK REVIEW","P2 - OVERSTOCK",IF(Z104="REPLENISHMENT REVIEW","P2 - REPLENISH","P3 - MONITOR"))))</f>
        <v/>
      </c>
      <c r="AC104" s="16" t="n">
        <v>4615.655408483896</v>
      </c>
      <c r="AD104" s="16" t="n">
        <v>2314.751187354674</v>
      </c>
      <c r="AE104" s="16">
        <f>IF(OR(AD104="",H104=""),"",H104*AD104)</f>
        <v/>
      </c>
    </row>
    <row r="105">
      <c r="A105" s="7" t="inlineStr">
        <is>
          <t>2022-12-31</t>
        </is>
      </c>
      <c r="B105" s="7" t="n">
        <v>736</v>
      </c>
      <c r="C105" s="8" t="inlineStr">
        <is>
          <t>HanoiStreet RP-24</t>
        </is>
      </c>
      <c r="D105" s="8" t="inlineStr">
        <is>
          <t>Outdoor</t>
        </is>
      </c>
      <c r="E105" s="7" t="inlineStr">
        <is>
          <t>Activewear</t>
        </is>
      </c>
      <c r="F105" s="7" t="inlineStr">
        <is>
          <t>S</t>
        </is>
      </c>
      <c r="G105" s="7" t="inlineStr">
        <is>
          <t>green</t>
        </is>
      </c>
      <c r="H105" s="9" t="n">
        <v>734</v>
      </c>
      <c r="I105" s="9" t="n">
        <v>9</v>
      </c>
      <c r="J105" s="10" t="n">
        <v>6.666666666666667</v>
      </c>
      <c r="K105" s="10">
        <f>IFERROR(J105/30,0)</f>
        <v/>
      </c>
      <c r="L105" s="9" t="n">
        <v>1</v>
      </c>
      <c r="M105" s="11" t="n">
        <v>0.9667</v>
      </c>
      <c r="N105" s="9" t="n">
        <v>1</v>
      </c>
      <c r="O105" s="9" t="n">
        <v>1</v>
      </c>
      <c r="P105" s="9" t="n">
        <v>0</v>
      </c>
      <c r="Q105" s="12" t="n">
        <v>0</v>
      </c>
      <c r="R105" s="12" t="n">
        <v>0</v>
      </c>
      <c r="S105" s="9">
        <f>H105+Q105-R105</f>
        <v/>
      </c>
      <c r="T105" s="12" t="n">
        <v>14</v>
      </c>
      <c r="U105" s="12" t="n">
        <v>7</v>
      </c>
      <c r="V105" s="12" t="n">
        <v>7</v>
      </c>
      <c r="W105" s="10">
        <f>K105*(T105+U105)</f>
        <v/>
      </c>
      <c r="X105" s="10">
        <f>K105*(T105+U105+V105)</f>
        <v/>
      </c>
      <c r="Y105" s="10">
        <f>IF(K105&gt;0,H105/K105,99999)</f>
        <v/>
      </c>
      <c r="Z105" s="8">
        <f>IF(AND(OR(L105&gt;=1,M105&lt;0.95),Y105&gt;120),"DATA CONFLICT - VERIFY",IF(OR(L105&gt;=1,M105&lt;0.95,Y105&lt;=14),"SERVICE / STOCKOUT REVIEW",IF(Y105&gt;120,"OVERSTOCK REVIEW",IF(S105&lt;=W105,"REPLENISHMENT REVIEW","NORMAL MONITORING"))))</f>
        <v/>
      </c>
      <c r="AA105" s="9">
        <f>IF(OR(Z105="DATA CONFLICT - VERIFY",Z105="SERVICE / STOCKOUT REVIEW"),0,IF(S105&lt;=W105,MAX(0,ROUNDUP(X105-S105,0)),0))</f>
        <v/>
      </c>
      <c r="AB105" s="8">
        <f>IF(Z105="DATA CONFLICT - VERIFY","P1 - DATA CONFLICT",IF(Z105="SERVICE / STOCKOUT REVIEW","P1 - SERVICE",IF(Z105="OVERSTOCK REVIEW","P2 - OVERSTOCK",IF(Z105="REPLENISHMENT REVIEW","P2 - REPLENISH","P3 - MONITOR"))))</f>
        <v/>
      </c>
      <c r="AC105" s="10" t="n">
        <v>4615.655408483896</v>
      </c>
      <c r="AD105" s="10" t="n">
        <v>2839.089641758444</v>
      </c>
      <c r="AE105" s="10">
        <f>IF(OR(AD105="",H105=""),"",H105*AD105)</f>
        <v/>
      </c>
    </row>
    <row r="106">
      <c r="A106" s="13" t="inlineStr">
        <is>
          <t>2022-12-31</t>
        </is>
      </c>
      <c r="B106" s="13" t="n">
        <v>759</v>
      </c>
      <c r="C106" s="14" t="inlineStr">
        <is>
          <t>HanoiStreet RP-47</t>
        </is>
      </c>
      <c r="D106" s="14" t="inlineStr">
        <is>
          <t>Outdoor</t>
        </is>
      </c>
      <c r="E106" s="13" t="inlineStr">
        <is>
          <t>Activewear</t>
        </is>
      </c>
      <c r="F106" s="13" t="inlineStr">
        <is>
          <t>XL</t>
        </is>
      </c>
      <c r="G106" s="13" t="inlineStr">
        <is>
          <t>yellow</t>
        </is>
      </c>
      <c r="H106" s="15" t="n">
        <v>1313</v>
      </c>
      <c r="I106" s="15" t="n">
        <v>6</v>
      </c>
      <c r="J106" s="16" t="n">
        <v>5</v>
      </c>
      <c r="K106" s="16">
        <f>IFERROR(J106/30,0)</f>
        <v/>
      </c>
      <c r="L106" s="15" t="n">
        <v>0</v>
      </c>
      <c r="M106" s="17" t="n">
        <v>1</v>
      </c>
      <c r="N106" s="15" t="n">
        <v>0</v>
      </c>
      <c r="O106" s="15" t="n">
        <v>1</v>
      </c>
      <c r="P106" s="15" t="n">
        <v>0</v>
      </c>
      <c r="Q106" s="12" t="n">
        <v>0</v>
      </c>
      <c r="R106" s="12" t="n">
        <v>0</v>
      </c>
      <c r="S106" s="15">
        <f>H106+Q106-R106</f>
        <v/>
      </c>
      <c r="T106" s="12" t="n">
        <v>14</v>
      </c>
      <c r="U106" s="12" t="n">
        <v>7</v>
      </c>
      <c r="V106" s="12" t="n">
        <v>7</v>
      </c>
      <c r="W106" s="16">
        <f>K106*(T106+U106)</f>
        <v/>
      </c>
      <c r="X106" s="16">
        <f>K106*(T106+U106+V106)</f>
        <v/>
      </c>
      <c r="Y106" s="16">
        <f>IF(K106&gt;0,H106/K106,99999)</f>
        <v/>
      </c>
      <c r="Z106" s="14">
        <f>IF(AND(OR(L106&gt;=1,M106&lt;0.95),Y106&gt;120),"DATA CONFLICT - VERIFY",IF(OR(L106&gt;=1,M106&lt;0.95,Y106&lt;=14),"SERVICE / STOCKOUT REVIEW",IF(Y106&gt;120,"OVERSTOCK REVIEW",IF(S106&lt;=W106,"REPLENISHMENT REVIEW","NORMAL MONITORING"))))</f>
        <v/>
      </c>
      <c r="AA106" s="15">
        <f>IF(OR(Z106="DATA CONFLICT - VERIFY",Z106="SERVICE / STOCKOUT REVIEW"),0,IF(S106&lt;=W106,MAX(0,ROUNDUP(X106-S106,0)),0))</f>
        <v/>
      </c>
      <c r="AB106" s="14">
        <f>IF(Z106="DATA CONFLICT - VERIFY","P1 - DATA CONFLICT",IF(Z106="SERVICE / STOCKOUT REVIEW","P1 - SERVICE",IF(Z106="OVERSTOCK REVIEW","P2 - OVERSTOCK",IF(Z106="REPLENISHMENT REVIEW","P2 - REPLENISH","P3 - MONITOR"))))</f>
        <v/>
      </c>
      <c r="AC106" s="16" t="n">
        <v>1901.46566118317</v>
      </c>
      <c r="AD106" s="16" t="n">
        <v>1048.658312142518</v>
      </c>
      <c r="AE106" s="16">
        <f>IF(OR(AD106="",H106=""),"",H106*AD106)</f>
        <v/>
      </c>
    </row>
    <row r="107">
      <c r="A107" s="7" t="inlineStr">
        <is>
          <t>2022-12-31</t>
        </is>
      </c>
      <c r="B107" s="7" t="n">
        <v>760</v>
      </c>
      <c r="C107" s="8" t="inlineStr">
        <is>
          <t>HanoiStreet RP-48</t>
        </is>
      </c>
      <c r="D107" s="8" t="inlineStr">
        <is>
          <t>Outdoor</t>
        </is>
      </c>
      <c r="E107" s="7" t="inlineStr">
        <is>
          <t>Activewear</t>
        </is>
      </c>
      <c r="F107" s="7" t="inlineStr">
        <is>
          <t>S</t>
        </is>
      </c>
      <c r="G107" s="7" t="inlineStr">
        <is>
          <t>red</t>
        </is>
      </c>
      <c r="H107" s="9" t="n">
        <v>1340</v>
      </c>
      <c r="I107" s="9" t="n">
        <v>6</v>
      </c>
      <c r="J107" s="10" t="n">
        <v>5</v>
      </c>
      <c r="K107" s="10">
        <f>IFERROR(J107/30,0)</f>
        <v/>
      </c>
      <c r="L107" s="9" t="n">
        <v>0</v>
      </c>
      <c r="M107" s="11" t="n">
        <v>1</v>
      </c>
      <c r="N107" s="9" t="n">
        <v>0</v>
      </c>
      <c r="O107" s="9" t="n">
        <v>1</v>
      </c>
      <c r="P107" s="9" t="n">
        <v>0</v>
      </c>
      <c r="Q107" s="12" t="n">
        <v>0</v>
      </c>
      <c r="R107" s="12" t="n">
        <v>0</v>
      </c>
      <c r="S107" s="9">
        <f>H107+Q107-R107</f>
        <v/>
      </c>
      <c r="T107" s="12" t="n">
        <v>14</v>
      </c>
      <c r="U107" s="12" t="n">
        <v>7</v>
      </c>
      <c r="V107" s="12" t="n">
        <v>7</v>
      </c>
      <c r="W107" s="10">
        <f>K107*(T107+U107)</f>
        <v/>
      </c>
      <c r="X107" s="10">
        <f>K107*(T107+U107+V107)</f>
        <v/>
      </c>
      <c r="Y107" s="10">
        <f>IF(K107&gt;0,H107/K107,99999)</f>
        <v/>
      </c>
      <c r="Z107" s="8">
        <f>IF(AND(OR(L107&gt;=1,M107&lt;0.95),Y107&gt;120),"DATA CONFLICT - VERIFY",IF(OR(L107&gt;=1,M107&lt;0.95,Y107&lt;=14),"SERVICE / STOCKOUT REVIEW",IF(Y107&gt;120,"OVERSTOCK REVIEW",IF(S107&lt;=W107,"REPLENISHMENT REVIEW","NORMAL MONITORING"))))</f>
        <v/>
      </c>
      <c r="AA107" s="9">
        <f>IF(OR(Z107="DATA CONFLICT - VERIFY",Z107="SERVICE / STOCKOUT REVIEW"),0,IF(S107&lt;=W107,MAX(0,ROUNDUP(X107-S107,0)),0))</f>
        <v/>
      </c>
      <c r="AB107" s="8">
        <f>IF(Z107="DATA CONFLICT - VERIFY","P1 - DATA CONFLICT",IF(Z107="SERVICE / STOCKOUT REVIEW","P1 - SERVICE",IF(Z107="OVERSTOCK REVIEW","P2 - OVERSTOCK",IF(Z107="REPLENISHMENT REVIEW","P2 - REPLENISH","P3 - MONITOR"))))</f>
        <v/>
      </c>
      <c r="AC107" s="10" t="n">
        <v>1901.46566118317</v>
      </c>
      <c r="AD107" s="10" t="n">
        <v>1262.573199025625</v>
      </c>
      <c r="AE107" s="10">
        <f>IF(OR(AD107="",H107=""),"",H107*AD107)</f>
        <v/>
      </c>
    </row>
    <row r="108">
      <c r="A108" s="13" t="inlineStr">
        <is>
          <t>2022-12-31</t>
        </is>
      </c>
      <c r="B108" s="13" t="n">
        <v>761</v>
      </c>
      <c r="C108" s="14" t="inlineStr">
        <is>
          <t>HanoiStreet RP-49</t>
        </is>
      </c>
      <c r="D108" s="14" t="inlineStr">
        <is>
          <t>Outdoor</t>
        </is>
      </c>
      <c r="E108" s="13" t="inlineStr">
        <is>
          <t>Activewear</t>
        </is>
      </c>
      <c r="F108" s="13" t="inlineStr">
        <is>
          <t>M</t>
        </is>
      </c>
      <c r="G108" s="13" t="inlineStr">
        <is>
          <t>black</t>
        </is>
      </c>
      <c r="H108" s="15" t="n">
        <v>1196</v>
      </c>
      <c r="I108" s="15" t="n">
        <v>13</v>
      </c>
      <c r="J108" s="16" t="n">
        <v>8.333333333333334</v>
      </c>
      <c r="K108" s="16">
        <f>IFERROR(J108/30,0)</f>
        <v/>
      </c>
      <c r="L108" s="15" t="n">
        <v>0</v>
      </c>
      <c r="M108" s="17" t="n">
        <v>1</v>
      </c>
      <c r="N108" s="15" t="n">
        <v>0</v>
      </c>
      <c r="O108" s="15" t="n">
        <v>1</v>
      </c>
      <c r="P108" s="15" t="n">
        <v>0</v>
      </c>
      <c r="Q108" s="12" t="n">
        <v>0</v>
      </c>
      <c r="R108" s="12" t="n">
        <v>0</v>
      </c>
      <c r="S108" s="15">
        <f>H108+Q108-R108</f>
        <v/>
      </c>
      <c r="T108" s="12" t="n">
        <v>14</v>
      </c>
      <c r="U108" s="12" t="n">
        <v>7</v>
      </c>
      <c r="V108" s="12" t="n">
        <v>7</v>
      </c>
      <c r="W108" s="16">
        <f>K108*(T108+U108)</f>
        <v/>
      </c>
      <c r="X108" s="16">
        <f>K108*(T108+U108+V108)</f>
        <v/>
      </c>
      <c r="Y108" s="16">
        <f>IF(K108&gt;0,H108/K108,99999)</f>
        <v/>
      </c>
      <c r="Z108" s="14">
        <f>IF(AND(OR(L108&gt;=1,M108&lt;0.95),Y108&gt;120),"DATA CONFLICT - VERIFY",IF(OR(L108&gt;=1,M108&lt;0.95,Y108&lt;=14),"SERVICE / STOCKOUT REVIEW",IF(Y108&gt;120,"OVERSTOCK REVIEW",IF(S108&lt;=W108,"REPLENISHMENT REVIEW","NORMAL MONITORING"))))</f>
        <v/>
      </c>
      <c r="AA108" s="15">
        <f>IF(OR(Z108="DATA CONFLICT - VERIFY",Z108="SERVICE / STOCKOUT REVIEW"),0,IF(S108&lt;=W108,MAX(0,ROUNDUP(X108-S108,0)),0))</f>
        <v/>
      </c>
      <c r="AB108" s="14">
        <f>IF(Z108="DATA CONFLICT - VERIFY","P1 - DATA CONFLICT",IF(Z108="SERVICE / STOCKOUT REVIEW","P1 - SERVICE",IF(Z108="OVERSTOCK REVIEW","P2 - OVERSTOCK",IF(Z108="REPLENISHMENT REVIEW","P2 - REPLENISH","P3 - MONITOR"))))</f>
        <v/>
      </c>
      <c r="AC108" s="16" t="n">
        <v>2220.597146098796</v>
      </c>
      <c r="AD108" s="16" t="n">
        <v>2109.567288793856</v>
      </c>
      <c r="AE108" s="16">
        <f>IF(OR(AD108="",H108=""),"",H108*AD108)</f>
        <v/>
      </c>
    </row>
    <row r="109">
      <c r="A109" s="7" t="inlineStr">
        <is>
          <t>2022-12-31</t>
        </is>
      </c>
      <c r="B109" s="7" t="n">
        <v>762</v>
      </c>
      <c r="C109" s="8" t="inlineStr">
        <is>
          <t>HanoiStreet RP-50</t>
        </is>
      </c>
      <c r="D109" s="8" t="inlineStr">
        <is>
          <t>Outdoor</t>
        </is>
      </c>
      <c r="E109" s="7" t="inlineStr">
        <is>
          <t>Activewear</t>
        </is>
      </c>
      <c r="F109" s="7" t="inlineStr">
        <is>
          <t>L</t>
        </is>
      </c>
      <c r="G109" s="7" t="inlineStr">
        <is>
          <t>orange</t>
        </is>
      </c>
      <c r="H109" s="9" t="n">
        <v>1221</v>
      </c>
      <c r="I109" s="9" t="n">
        <v>13</v>
      </c>
      <c r="J109" s="10" t="n">
        <v>8.333333333333334</v>
      </c>
      <c r="K109" s="10">
        <f>IFERROR(J109/30,0)</f>
        <v/>
      </c>
      <c r="L109" s="9" t="n">
        <v>2</v>
      </c>
      <c r="M109" s="11" t="n">
        <v>0.9333</v>
      </c>
      <c r="N109" s="9" t="n">
        <v>1</v>
      </c>
      <c r="O109" s="9" t="n">
        <v>1</v>
      </c>
      <c r="P109" s="9" t="n">
        <v>0</v>
      </c>
      <c r="Q109" s="12" t="n">
        <v>0</v>
      </c>
      <c r="R109" s="12" t="n">
        <v>0</v>
      </c>
      <c r="S109" s="9">
        <f>H109+Q109-R109</f>
        <v/>
      </c>
      <c r="T109" s="12" t="n">
        <v>14</v>
      </c>
      <c r="U109" s="12" t="n">
        <v>7</v>
      </c>
      <c r="V109" s="12" t="n">
        <v>7</v>
      </c>
      <c r="W109" s="10">
        <f>K109*(T109+U109)</f>
        <v/>
      </c>
      <c r="X109" s="10">
        <f>K109*(T109+U109+V109)</f>
        <v/>
      </c>
      <c r="Y109" s="10">
        <f>IF(K109&gt;0,H109/K109,99999)</f>
        <v/>
      </c>
      <c r="Z109" s="8">
        <f>IF(AND(OR(L109&gt;=1,M109&lt;0.95),Y109&gt;120),"DATA CONFLICT - VERIFY",IF(OR(L109&gt;=1,M109&lt;0.95,Y109&lt;=14),"SERVICE / STOCKOUT REVIEW",IF(Y109&gt;120,"OVERSTOCK REVIEW",IF(S109&lt;=W109,"REPLENISHMENT REVIEW","NORMAL MONITORING"))))</f>
        <v/>
      </c>
      <c r="AA109" s="9">
        <f>IF(OR(Z109="DATA CONFLICT - VERIFY",Z109="SERVICE / STOCKOUT REVIEW"),0,IF(S109&lt;=W109,MAX(0,ROUNDUP(X109-S109,0)),0))</f>
        <v/>
      </c>
      <c r="AB109" s="8">
        <f>IF(Z109="DATA CONFLICT - VERIFY","P1 - DATA CONFLICT",IF(Z109="SERVICE / STOCKOUT REVIEW","P1 - SERVICE",IF(Z109="OVERSTOCK REVIEW","P2 - OVERSTOCK",IF(Z109="REPLENISHMENT REVIEW","P2 - REPLENISH","P3 - MONITOR"))))</f>
        <v/>
      </c>
      <c r="AC109" s="10" t="n">
        <v>2220.597146098796</v>
      </c>
      <c r="AD109" s="10" t="n">
        <v>2109.567288793856</v>
      </c>
      <c r="AE109" s="10">
        <f>IF(OR(AD109="",H109=""),"",H109*AD109)</f>
        <v/>
      </c>
    </row>
    <row r="110">
      <c r="A110" s="13" t="inlineStr">
        <is>
          <t>2022-12-31</t>
        </is>
      </c>
      <c r="B110" s="13" t="n">
        <v>763</v>
      </c>
      <c r="C110" s="14" t="inlineStr">
        <is>
          <t>HanoiStreet RP-51</t>
        </is>
      </c>
      <c r="D110" s="14" t="inlineStr">
        <is>
          <t>Outdoor</t>
        </is>
      </c>
      <c r="E110" s="13" t="inlineStr">
        <is>
          <t>Activewear</t>
        </is>
      </c>
      <c r="F110" s="13" t="inlineStr">
        <is>
          <t>XL</t>
        </is>
      </c>
      <c r="G110" s="13" t="inlineStr">
        <is>
          <t>blue</t>
        </is>
      </c>
      <c r="H110" s="15" t="n">
        <v>739</v>
      </c>
      <c r="I110" s="15" t="n">
        <v>3</v>
      </c>
      <c r="J110" s="16" t="n">
        <v>5.666666666666667</v>
      </c>
      <c r="K110" s="16">
        <f>IFERROR(J110/30,0)</f>
        <v/>
      </c>
      <c r="L110" s="15" t="n">
        <v>1</v>
      </c>
      <c r="M110" s="17" t="n">
        <v>0.9667</v>
      </c>
      <c r="N110" s="15" t="n">
        <v>1</v>
      </c>
      <c r="O110" s="15" t="n">
        <v>1</v>
      </c>
      <c r="P110" s="15" t="n">
        <v>0</v>
      </c>
      <c r="Q110" s="12" t="n">
        <v>0</v>
      </c>
      <c r="R110" s="12" t="n">
        <v>0</v>
      </c>
      <c r="S110" s="15">
        <f>H110+Q110-R110</f>
        <v/>
      </c>
      <c r="T110" s="12" t="n">
        <v>14</v>
      </c>
      <c r="U110" s="12" t="n">
        <v>7</v>
      </c>
      <c r="V110" s="12" t="n">
        <v>7</v>
      </c>
      <c r="W110" s="16">
        <f>K110*(T110+U110)</f>
        <v/>
      </c>
      <c r="X110" s="16">
        <f>K110*(T110+U110+V110)</f>
        <v/>
      </c>
      <c r="Y110" s="16">
        <f>IF(K110&gt;0,H110/K110,99999)</f>
        <v/>
      </c>
      <c r="Z110" s="14">
        <f>IF(AND(OR(L110&gt;=1,M110&lt;0.95),Y110&gt;120),"DATA CONFLICT - VERIFY",IF(OR(L110&gt;=1,M110&lt;0.95,Y110&lt;=14),"SERVICE / STOCKOUT REVIEW",IF(Y110&gt;120,"OVERSTOCK REVIEW",IF(S110&lt;=W110,"REPLENISHMENT REVIEW","NORMAL MONITORING"))))</f>
        <v/>
      </c>
      <c r="AA110" s="15">
        <f>IF(OR(Z110="DATA CONFLICT - VERIFY",Z110="SERVICE / STOCKOUT REVIEW"),0,IF(S110&lt;=W110,MAX(0,ROUNDUP(X110-S110,0)),0))</f>
        <v/>
      </c>
      <c r="AB110" s="14">
        <f>IF(Z110="DATA CONFLICT - VERIFY","P1 - DATA CONFLICT",IF(Z110="SERVICE / STOCKOUT REVIEW","P1 - SERVICE",IF(Z110="OVERSTOCK REVIEW","P2 - OVERSTOCK",IF(Z110="REPLENISHMENT REVIEW","P2 - REPLENISH","P3 - MONITOR"))))</f>
        <v/>
      </c>
      <c r="AC110" s="16" t="n">
        <v>3884.383134851138</v>
      </c>
      <c r="AD110" s="16" t="n">
        <v>2371.804342140105</v>
      </c>
      <c r="AE110" s="16">
        <f>IF(OR(AD110="",H110=""),"",H110*AD110)</f>
        <v/>
      </c>
    </row>
    <row r="111">
      <c r="A111" s="7" t="inlineStr">
        <is>
          <t>2022-12-31</t>
        </is>
      </c>
      <c r="B111" s="7" t="n">
        <v>764</v>
      </c>
      <c r="C111" s="8" t="inlineStr">
        <is>
          <t>HanoiStreet RP-52</t>
        </is>
      </c>
      <c r="D111" s="8" t="inlineStr">
        <is>
          <t>Outdoor</t>
        </is>
      </c>
      <c r="E111" s="7" t="inlineStr">
        <is>
          <t>Activewear</t>
        </is>
      </c>
      <c r="F111" s="7" t="inlineStr">
        <is>
          <t>S</t>
        </is>
      </c>
      <c r="G111" s="7" t="inlineStr">
        <is>
          <t>white</t>
        </is>
      </c>
      <c r="H111" s="9" t="n">
        <v>690</v>
      </c>
      <c r="I111" s="9" t="n">
        <v>3</v>
      </c>
      <c r="J111" s="10" t="n">
        <v>5.666666666666667</v>
      </c>
      <c r="K111" s="10">
        <f>IFERROR(J111/30,0)</f>
        <v/>
      </c>
      <c r="L111" s="9" t="n">
        <v>0</v>
      </c>
      <c r="M111" s="11" t="n">
        <v>1</v>
      </c>
      <c r="N111" s="9" t="n">
        <v>0</v>
      </c>
      <c r="O111" s="9" t="n">
        <v>1</v>
      </c>
      <c r="P111" s="9" t="n">
        <v>0</v>
      </c>
      <c r="Q111" s="12" t="n">
        <v>0</v>
      </c>
      <c r="R111" s="12" t="n">
        <v>0</v>
      </c>
      <c r="S111" s="9">
        <f>H111+Q111-R111</f>
        <v/>
      </c>
      <c r="T111" s="12" t="n">
        <v>14</v>
      </c>
      <c r="U111" s="12" t="n">
        <v>7</v>
      </c>
      <c r="V111" s="12" t="n">
        <v>7</v>
      </c>
      <c r="W111" s="10">
        <f>K111*(T111+U111)</f>
        <v/>
      </c>
      <c r="X111" s="10">
        <f>K111*(T111+U111+V111)</f>
        <v/>
      </c>
      <c r="Y111" s="10">
        <f>IF(K111&gt;0,H111/K111,99999)</f>
        <v/>
      </c>
      <c r="Z111" s="8">
        <f>IF(AND(OR(L111&gt;=1,M111&lt;0.95),Y111&gt;120),"DATA CONFLICT - VERIFY",IF(OR(L111&gt;=1,M111&lt;0.95,Y111&lt;=14),"SERVICE / STOCKOUT REVIEW",IF(Y111&gt;120,"OVERSTOCK REVIEW",IF(S111&lt;=W111,"REPLENISHMENT REVIEW","NORMAL MONITORING"))))</f>
        <v/>
      </c>
      <c r="AA111" s="9">
        <f>IF(OR(Z111="DATA CONFLICT - VERIFY",Z111="SERVICE / STOCKOUT REVIEW"),0,IF(S111&lt;=W111,MAX(0,ROUNDUP(X111-S111,0)),0))</f>
        <v/>
      </c>
      <c r="AB111" s="8">
        <f>IF(Z111="DATA CONFLICT - VERIFY","P1 - DATA CONFLICT",IF(Z111="SERVICE / STOCKOUT REVIEW","P1 - SERVICE",IF(Z111="OVERSTOCK REVIEW","P2 - OVERSTOCK",IF(Z111="REPLENISHMENT REVIEW","P2 - REPLENISH","P3 - MONITOR"))))</f>
        <v/>
      </c>
      <c r="AC111" s="10" t="n">
        <v>3884.383134851138</v>
      </c>
      <c r="AD111" s="10" t="n">
        <v>3601.600042633976</v>
      </c>
      <c r="AE111" s="10">
        <f>IF(OR(AD111="",H111=""),"",H111*AD111)</f>
        <v/>
      </c>
    </row>
    <row r="112">
      <c r="A112" s="13" t="inlineStr">
        <is>
          <t>2022-12-31</t>
        </is>
      </c>
      <c r="B112" s="13" t="n">
        <v>777</v>
      </c>
      <c r="C112" s="14" t="inlineStr">
        <is>
          <t>HanoiStreet RP-65</t>
        </is>
      </c>
      <c r="D112" s="14" t="inlineStr">
        <is>
          <t>Outdoor</t>
        </is>
      </c>
      <c r="E112" s="13" t="inlineStr">
        <is>
          <t>Activewear</t>
        </is>
      </c>
      <c r="F112" s="13" t="inlineStr">
        <is>
          <t>M</t>
        </is>
      </c>
      <c r="G112" s="13" t="inlineStr">
        <is>
          <t>silver</t>
        </is>
      </c>
      <c r="H112" s="15" t="n">
        <v>780</v>
      </c>
      <c r="I112" s="15" t="n">
        <v>36</v>
      </c>
      <c r="J112" s="16" t="n">
        <v>18.66666666666667</v>
      </c>
      <c r="K112" s="16">
        <f>IFERROR(J112/30,0)</f>
        <v/>
      </c>
      <c r="L112" s="15" t="n">
        <v>1</v>
      </c>
      <c r="M112" s="17" t="n">
        <v>0.9667</v>
      </c>
      <c r="N112" s="15" t="n">
        <v>1</v>
      </c>
      <c r="O112" s="15" t="n">
        <v>1</v>
      </c>
      <c r="P112" s="15" t="n">
        <v>0</v>
      </c>
      <c r="Q112" s="12" t="n">
        <v>0</v>
      </c>
      <c r="R112" s="12" t="n">
        <v>0</v>
      </c>
      <c r="S112" s="15">
        <f>H112+Q112-R112</f>
        <v/>
      </c>
      <c r="T112" s="12" t="n">
        <v>14</v>
      </c>
      <c r="U112" s="12" t="n">
        <v>7</v>
      </c>
      <c r="V112" s="12" t="n">
        <v>7</v>
      </c>
      <c r="W112" s="16">
        <f>K112*(T112+U112)</f>
        <v/>
      </c>
      <c r="X112" s="16">
        <f>K112*(T112+U112+V112)</f>
        <v/>
      </c>
      <c r="Y112" s="16">
        <f>IF(K112&gt;0,H112/K112,99999)</f>
        <v/>
      </c>
      <c r="Z112" s="14">
        <f>IF(AND(OR(L112&gt;=1,M112&lt;0.95),Y112&gt;120),"DATA CONFLICT - VERIFY",IF(OR(L112&gt;=1,M112&lt;0.95,Y112&lt;=14),"SERVICE / STOCKOUT REVIEW",IF(Y112&gt;120,"OVERSTOCK REVIEW",IF(S112&lt;=W112,"REPLENISHMENT REVIEW","NORMAL MONITORING"))))</f>
        <v/>
      </c>
      <c r="AA112" s="15">
        <f>IF(OR(Z112="DATA CONFLICT - VERIFY",Z112="SERVICE / STOCKOUT REVIEW"),0,IF(S112&lt;=W112,MAX(0,ROUNDUP(X112-S112,0)),0))</f>
        <v/>
      </c>
      <c r="AB112" s="14">
        <f>IF(Z112="DATA CONFLICT - VERIFY","P1 - DATA CONFLICT",IF(Z112="SERVICE / STOCKOUT REVIEW","P1 - SERVICE",IF(Z112="OVERSTOCK REVIEW","P2 - OVERSTOCK",IF(Z112="REPLENISHMENT REVIEW","P2 - REPLENISH","P3 - MONITOR"))))</f>
        <v/>
      </c>
      <c r="AC112" s="16" t="n">
        <v>1477.48894952251</v>
      </c>
      <c r="AD112" s="16" t="n">
        <v>1403.614502046385</v>
      </c>
      <c r="AE112" s="16">
        <f>IF(OR(AD112="",H112=""),"",H112*AD112)</f>
        <v/>
      </c>
    </row>
    <row r="113">
      <c r="A113" s="7" t="inlineStr">
        <is>
          <t>2022-12-31</t>
        </is>
      </c>
      <c r="B113" s="7" t="n">
        <v>778</v>
      </c>
      <c r="C113" s="8" t="inlineStr">
        <is>
          <t>HanoiStreet RP-66</t>
        </is>
      </c>
      <c r="D113" s="8" t="inlineStr">
        <is>
          <t>Outdoor</t>
        </is>
      </c>
      <c r="E113" s="7" t="inlineStr">
        <is>
          <t>Activewear</t>
        </is>
      </c>
      <c r="F113" s="7" t="inlineStr">
        <is>
          <t>L</t>
        </is>
      </c>
      <c r="G113" s="7" t="inlineStr">
        <is>
          <t>pink</t>
        </is>
      </c>
      <c r="H113" s="9" t="n">
        <v>826</v>
      </c>
      <c r="I113" s="9" t="n">
        <v>36</v>
      </c>
      <c r="J113" s="10" t="n">
        <v>18.66666666666667</v>
      </c>
      <c r="K113" s="10">
        <f>IFERROR(J113/30,0)</f>
        <v/>
      </c>
      <c r="L113" s="9" t="n">
        <v>1</v>
      </c>
      <c r="M113" s="11" t="n">
        <v>0.9667</v>
      </c>
      <c r="N113" s="9" t="n">
        <v>1</v>
      </c>
      <c r="O113" s="9" t="n">
        <v>1</v>
      </c>
      <c r="P113" s="9" t="n">
        <v>0</v>
      </c>
      <c r="Q113" s="12" t="n">
        <v>0</v>
      </c>
      <c r="R113" s="12" t="n">
        <v>0</v>
      </c>
      <c r="S113" s="9">
        <f>H113+Q113-R113</f>
        <v/>
      </c>
      <c r="T113" s="12" t="n">
        <v>14</v>
      </c>
      <c r="U113" s="12" t="n">
        <v>7</v>
      </c>
      <c r="V113" s="12" t="n">
        <v>7</v>
      </c>
      <c r="W113" s="10">
        <f>K113*(T113+U113)</f>
        <v/>
      </c>
      <c r="X113" s="10">
        <f>K113*(T113+U113+V113)</f>
        <v/>
      </c>
      <c r="Y113" s="10">
        <f>IF(K113&gt;0,H113/K113,99999)</f>
        <v/>
      </c>
      <c r="Z113" s="8">
        <f>IF(AND(OR(L113&gt;=1,M113&lt;0.95),Y113&gt;120),"DATA CONFLICT - VERIFY",IF(OR(L113&gt;=1,M113&lt;0.95,Y113&lt;=14),"SERVICE / STOCKOUT REVIEW",IF(Y113&gt;120,"OVERSTOCK REVIEW",IF(S113&lt;=W113,"REPLENISHMENT REVIEW","NORMAL MONITORING"))))</f>
        <v/>
      </c>
      <c r="AA113" s="9">
        <f>IF(OR(Z113="DATA CONFLICT - VERIFY",Z113="SERVICE / STOCKOUT REVIEW"),0,IF(S113&lt;=W113,MAX(0,ROUNDUP(X113-S113,0)),0))</f>
        <v/>
      </c>
      <c r="AB113" s="8">
        <f>IF(Z113="DATA CONFLICT - VERIFY","P1 - DATA CONFLICT",IF(Z113="SERVICE / STOCKOUT REVIEW","P1 - SERVICE",IF(Z113="OVERSTOCK REVIEW","P2 - OVERSTOCK",IF(Z113="REPLENISHMENT REVIEW","P2 - REPLENISH","P3 - MONITOR"))))</f>
        <v/>
      </c>
      <c r="AC113" s="10" t="n">
        <v>1477.48894952251</v>
      </c>
      <c r="AD113" s="10" t="n">
        <v>1174.308217080491</v>
      </c>
      <c r="AE113" s="10">
        <f>IF(OR(AD113="",H113=""),"",H113*AD113)</f>
        <v/>
      </c>
    </row>
    <row r="114">
      <c r="A114" s="13" t="inlineStr">
        <is>
          <t>2022-12-31</t>
        </is>
      </c>
      <c r="B114" s="13" t="n">
        <v>779</v>
      </c>
      <c r="C114" s="14" t="inlineStr">
        <is>
          <t>HanoiStreet RP-67</t>
        </is>
      </c>
      <c r="D114" s="14" t="inlineStr">
        <is>
          <t>Outdoor</t>
        </is>
      </c>
      <c r="E114" s="13" t="inlineStr">
        <is>
          <t>Activewear</t>
        </is>
      </c>
      <c r="F114" s="13" t="inlineStr">
        <is>
          <t>XL</t>
        </is>
      </c>
      <c r="G114" s="13" t="inlineStr">
        <is>
          <t>yellow</t>
        </is>
      </c>
      <c r="H114" s="15" t="n">
        <v>688</v>
      </c>
      <c r="I114" s="15" t="n">
        <v>5</v>
      </c>
      <c r="J114" s="16" t="n">
        <v>4.333333333333333</v>
      </c>
      <c r="K114" s="16">
        <f>IFERROR(J114/30,0)</f>
        <v/>
      </c>
      <c r="L114" s="15" t="n">
        <v>2</v>
      </c>
      <c r="M114" s="17" t="n">
        <v>0.9333</v>
      </c>
      <c r="N114" s="15" t="n">
        <v>1</v>
      </c>
      <c r="O114" s="15" t="n">
        <v>1</v>
      </c>
      <c r="P114" s="15" t="n">
        <v>0</v>
      </c>
      <c r="Q114" s="12" t="n">
        <v>0</v>
      </c>
      <c r="R114" s="12" t="n">
        <v>0</v>
      </c>
      <c r="S114" s="15">
        <f>H114+Q114-R114</f>
        <v/>
      </c>
      <c r="T114" s="12" t="n">
        <v>14</v>
      </c>
      <c r="U114" s="12" t="n">
        <v>7</v>
      </c>
      <c r="V114" s="12" t="n">
        <v>7</v>
      </c>
      <c r="W114" s="16">
        <f>K114*(T114+U114)</f>
        <v/>
      </c>
      <c r="X114" s="16">
        <f>K114*(T114+U114+V114)</f>
        <v/>
      </c>
      <c r="Y114" s="16">
        <f>IF(K114&gt;0,H114/K114,99999)</f>
        <v/>
      </c>
      <c r="Z114" s="14">
        <f>IF(AND(OR(L114&gt;=1,M114&lt;0.95),Y114&gt;120),"DATA CONFLICT - VERIFY",IF(OR(L114&gt;=1,M114&lt;0.95,Y114&lt;=14),"SERVICE / STOCKOUT REVIEW",IF(Y114&gt;120,"OVERSTOCK REVIEW",IF(S114&lt;=W114,"REPLENISHMENT REVIEW","NORMAL MONITORING"))))</f>
        <v/>
      </c>
      <c r="AA114" s="15">
        <f>IF(OR(Z114="DATA CONFLICT - VERIFY",Z114="SERVICE / STOCKOUT REVIEW"),0,IF(S114&lt;=W114,MAX(0,ROUNDUP(X114-S114,0)),0))</f>
        <v/>
      </c>
      <c r="AB114" s="14">
        <f>IF(Z114="DATA CONFLICT - VERIFY","P1 - DATA CONFLICT",IF(Z114="SERVICE / STOCKOUT REVIEW","P1 - SERVICE",IF(Z114="OVERSTOCK REVIEW","P2 - OVERSTOCK",IF(Z114="REPLENISHMENT REVIEW","P2 - REPLENISH","P3 - MONITOR"))))</f>
        <v/>
      </c>
      <c r="AC114" s="16" t="n">
        <v>3997.024412721359</v>
      </c>
      <c r="AD114" s="16" t="n">
        <v>3519.379995401157</v>
      </c>
      <c r="AE114" s="16">
        <f>IF(OR(AD114="",H114=""),"",H114*AD114)</f>
        <v/>
      </c>
    </row>
    <row r="115">
      <c r="A115" s="7" t="inlineStr">
        <is>
          <t>2022-12-31</t>
        </is>
      </c>
      <c r="B115" s="7" t="n">
        <v>780</v>
      </c>
      <c r="C115" s="8" t="inlineStr">
        <is>
          <t>HanoiStreet RP-68</t>
        </is>
      </c>
      <c r="D115" s="8" t="inlineStr">
        <is>
          <t>Outdoor</t>
        </is>
      </c>
      <c r="E115" s="7" t="inlineStr">
        <is>
          <t>Activewear</t>
        </is>
      </c>
      <c r="F115" s="7" t="inlineStr">
        <is>
          <t>S</t>
        </is>
      </c>
      <c r="G115" s="7" t="inlineStr">
        <is>
          <t>red</t>
        </is>
      </c>
      <c r="H115" s="9" t="n">
        <v>698</v>
      </c>
      <c r="I115" s="9" t="n">
        <v>5</v>
      </c>
      <c r="J115" s="10" t="n">
        <v>4.333333333333333</v>
      </c>
      <c r="K115" s="10">
        <f>IFERROR(J115/30,0)</f>
        <v/>
      </c>
      <c r="L115" s="9" t="n">
        <v>1</v>
      </c>
      <c r="M115" s="11" t="n">
        <v>0.9667</v>
      </c>
      <c r="N115" s="9" t="n">
        <v>1</v>
      </c>
      <c r="O115" s="9" t="n">
        <v>1</v>
      </c>
      <c r="P115" s="9" t="n">
        <v>0</v>
      </c>
      <c r="Q115" s="12" t="n">
        <v>0</v>
      </c>
      <c r="R115" s="12" t="n">
        <v>0</v>
      </c>
      <c r="S115" s="9">
        <f>H115+Q115-R115</f>
        <v/>
      </c>
      <c r="T115" s="12" t="n">
        <v>14</v>
      </c>
      <c r="U115" s="12" t="n">
        <v>7</v>
      </c>
      <c r="V115" s="12" t="n">
        <v>7</v>
      </c>
      <c r="W115" s="10">
        <f>K115*(T115+U115)</f>
        <v/>
      </c>
      <c r="X115" s="10">
        <f>K115*(T115+U115+V115)</f>
        <v/>
      </c>
      <c r="Y115" s="10">
        <f>IF(K115&gt;0,H115/K115,99999)</f>
        <v/>
      </c>
      <c r="Z115" s="8">
        <f>IF(AND(OR(L115&gt;=1,M115&lt;0.95),Y115&gt;120),"DATA CONFLICT - VERIFY",IF(OR(L115&gt;=1,M115&lt;0.95,Y115&lt;=14),"SERVICE / STOCKOUT REVIEW",IF(Y115&gt;120,"OVERSTOCK REVIEW",IF(S115&lt;=W115,"REPLENISHMENT REVIEW","NORMAL MONITORING"))))</f>
        <v/>
      </c>
      <c r="AA115" s="9">
        <f>IF(OR(Z115="DATA CONFLICT - VERIFY",Z115="SERVICE / STOCKOUT REVIEW"),0,IF(S115&lt;=W115,MAX(0,ROUNDUP(X115-S115,0)),0))</f>
        <v/>
      </c>
      <c r="AB115" s="8">
        <f>IF(Z115="DATA CONFLICT - VERIFY","P1 - DATA CONFLICT",IF(Z115="SERVICE / STOCKOUT REVIEW","P1 - SERVICE",IF(Z115="OVERSTOCK REVIEW","P2 - OVERSTOCK",IF(Z115="REPLENISHMENT REVIEW","P2 - REPLENISH","P3 - MONITOR"))))</f>
        <v/>
      </c>
      <c r="AC115" s="10" t="n">
        <v>3997.024412721359</v>
      </c>
      <c r="AD115" s="10" t="n">
        <v>2058.4675725515</v>
      </c>
      <c r="AE115" s="10">
        <f>IF(OR(AD115="",H115=""),"",H115*AD115)</f>
        <v/>
      </c>
    </row>
    <row r="116">
      <c r="A116" s="13" t="inlineStr">
        <is>
          <t>2022-12-31</t>
        </is>
      </c>
      <c r="B116" s="13" t="n">
        <v>781</v>
      </c>
      <c r="C116" s="14" t="inlineStr">
        <is>
          <t>HanoiStreet RP-69</t>
        </is>
      </c>
      <c r="D116" s="14" t="inlineStr">
        <is>
          <t>Outdoor</t>
        </is>
      </c>
      <c r="E116" s="13" t="inlineStr">
        <is>
          <t>Activewear</t>
        </is>
      </c>
      <c r="F116" s="13" t="inlineStr">
        <is>
          <t>M</t>
        </is>
      </c>
      <c r="G116" s="13" t="inlineStr">
        <is>
          <t>black</t>
        </is>
      </c>
      <c r="H116" s="15" t="n">
        <v>743</v>
      </c>
      <c r="I116" s="15" t="n">
        <v>35</v>
      </c>
      <c r="J116" s="16" t="n">
        <v>18</v>
      </c>
      <c r="K116" s="16">
        <f>IFERROR(J116/30,0)</f>
        <v/>
      </c>
      <c r="L116" s="15" t="n">
        <v>2</v>
      </c>
      <c r="M116" s="17" t="n">
        <v>0.9333</v>
      </c>
      <c r="N116" s="15" t="n">
        <v>1</v>
      </c>
      <c r="O116" s="15" t="n">
        <v>1</v>
      </c>
      <c r="P116" s="15" t="n">
        <v>0</v>
      </c>
      <c r="Q116" s="12" t="n">
        <v>0</v>
      </c>
      <c r="R116" s="12" t="n">
        <v>0</v>
      </c>
      <c r="S116" s="15">
        <f>H116+Q116-R116</f>
        <v/>
      </c>
      <c r="T116" s="12" t="n">
        <v>14</v>
      </c>
      <c r="U116" s="12" t="n">
        <v>7</v>
      </c>
      <c r="V116" s="12" t="n">
        <v>7</v>
      </c>
      <c r="W116" s="16">
        <f>K116*(T116+U116)</f>
        <v/>
      </c>
      <c r="X116" s="16">
        <f>K116*(T116+U116+V116)</f>
        <v/>
      </c>
      <c r="Y116" s="16">
        <f>IF(K116&gt;0,H116/K116,99999)</f>
        <v/>
      </c>
      <c r="Z116" s="14">
        <f>IF(AND(OR(L116&gt;=1,M116&lt;0.95),Y116&gt;120),"DATA CONFLICT - VERIFY",IF(OR(L116&gt;=1,M116&lt;0.95,Y116&lt;=14),"SERVICE / STOCKOUT REVIEW",IF(Y116&gt;120,"OVERSTOCK REVIEW",IF(S116&lt;=W116,"REPLENISHMENT REVIEW","NORMAL MONITORING"))))</f>
        <v/>
      </c>
      <c r="AA116" s="15">
        <f>IF(OR(Z116="DATA CONFLICT - VERIFY",Z116="SERVICE / STOCKOUT REVIEW"),0,IF(S116&lt;=W116,MAX(0,ROUNDUP(X116-S116,0)),0))</f>
        <v/>
      </c>
      <c r="AB116" s="14">
        <f>IF(Z116="DATA CONFLICT - VERIFY","P1 - DATA CONFLICT",IF(Z116="SERVICE / STOCKOUT REVIEW","P1 - SERVICE",IF(Z116="OVERSTOCK REVIEW","P2 - OVERSTOCK",IF(Z116="REPLENISHMENT REVIEW","P2 - REPLENISH","P3 - MONITOR"))))</f>
        <v/>
      </c>
      <c r="AC116" s="16" t="n">
        <v>1274.581868806041</v>
      </c>
      <c r="AD116" s="16" t="n">
        <v>845.3026953921661</v>
      </c>
      <c r="AE116" s="16">
        <f>IF(OR(AD116="",H116=""),"",H116*AD116)</f>
        <v/>
      </c>
    </row>
    <row r="117">
      <c r="A117" s="7" t="inlineStr">
        <is>
          <t>2022-12-31</t>
        </is>
      </c>
      <c r="B117" s="7" t="n">
        <v>782</v>
      </c>
      <c r="C117" s="8" t="inlineStr">
        <is>
          <t>HanoiStreet RP-70</t>
        </is>
      </c>
      <c r="D117" s="8" t="inlineStr">
        <is>
          <t>Outdoor</t>
        </is>
      </c>
      <c r="E117" s="7" t="inlineStr">
        <is>
          <t>Activewear</t>
        </is>
      </c>
      <c r="F117" s="7" t="inlineStr">
        <is>
          <t>L</t>
        </is>
      </c>
      <c r="G117" s="7" t="inlineStr">
        <is>
          <t>orange</t>
        </is>
      </c>
      <c r="H117" s="9" t="n">
        <v>724</v>
      </c>
      <c r="I117" s="9" t="n">
        <v>35</v>
      </c>
      <c r="J117" s="10" t="n">
        <v>18</v>
      </c>
      <c r="K117" s="10">
        <f>IFERROR(J117/30,0)</f>
        <v/>
      </c>
      <c r="L117" s="9" t="n">
        <v>1</v>
      </c>
      <c r="M117" s="11" t="n">
        <v>0.9667</v>
      </c>
      <c r="N117" s="9" t="n">
        <v>1</v>
      </c>
      <c r="O117" s="9" t="n">
        <v>1</v>
      </c>
      <c r="P117" s="9" t="n">
        <v>0</v>
      </c>
      <c r="Q117" s="12" t="n">
        <v>0</v>
      </c>
      <c r="R117" s="12" t="n">
        <v>0</v>
      </c>
      <c r="S117" s="9">
        <f>H117+Q117-R117</f>
        <v/>
      </c>
      <c r="T117" s="12" t="n">
        <v>14</v>
      </c>
      <c r="U117" s="12" t="n">
        <v>7</v>
      </c>
      <c r="V117" s="12" t="n">
        <v>7</v>
      </c>
      <c r="W117" s="10">
        <f>K117*(T117+U117)</f>
        <v/>
      </c>
      <c r="X117" s="10">
        <f>K117*(T117+U117+V117)</f>
        <v/>
      </c>
      <c r="Y117" s="10">
        <f>IF(K117&gt;0,H117/K117,99999)</f>
        <v/>
      </c>
      <c r="Z117" s="8">
        <f>IF(AND(OR(L117&gt;=1,M117&lt;0.95),Y117&gt;120),"DATA CONFLICT - VERIFY",IF(OR(L117&gt;=1,M117&lt;0.95,Y117&lt;=14),"SERVICE / STOCKOUT REVIEW",IF(Y117&gt;120,"OVERSTOCK REVIEW",IF(S117&lt;=W117,"REPLENISHMENT REVIEW","NORMAL MONITORING"))))</f>
        <v/>
      </c>
      <c r="AA117" s="9">
        <f>IF(OR(Z117="DATA CONFLICT - VERIFY",Z117="SERVICE / STOCKOUT REVIEW"),0,IF(S117&lt;=W117,MAX(0,ROUNDUP(X117-S117,0)),0))</f>
        <v/>
      </c>
      <c r="AB117" s="8">
        <f>IF(Z117="DATA CONFLICT - VERIFY","P1 - DATA CONFLICT",IF(Z117="SERVICE / STOCKOUT REVIEW","P1 - SERVICE",IF(Z117="OVERSTOCK REVIEW","P2 - OVERSTOCK",IF(Z117="REPLENISHMENT REVIEW","P2 - REPLENISH","P3 - MONITOR"))))</f>
        <v/>
      </c>
      <c r="AC117" s="10" t="n">
        <v>1274.581868806041</v>
      </c>
      <c r="AD117" s="10" t="n">
        <v>1065.805358695611</v>
      </c>
      <c r="AE117" s="10">
        <f>IF(OR(AD117="",H117=""),"",H117*AD117)</f>
        <v/>
      </c>
    </row>
    <row r="118">
      <c r="A118" s="13" t="inlineStr">
        <is>
          <t>2022-12-31</t>
        </is>
      </c>
      <c r="B118" s="13" t="n">
        <v>791</v>
      </c>
      <c r="C118" s="14" t="inlineStr">
        <is>
          <t>HanoiStreet RP-79</t>
        </is>
      </c>
      <c r="D118" s="14" t="inlineStr">
        <is>
          <t>Outdoor</t>
        </is>
      </c>
      <c r="E118" s="13" t="inlineStr">
        <is>
          <t>Activewear</t>
        </is>
      </c>
      <c r="F118" s="13" t="inlineStr">
        <is>
          <t>XL</t>
        </is>
      </c>
      <c r="G118" s="13" t="inlineStr">
        <is>
          <t>black</t>
        </is>
      </c>
      <c r="H118" s="15" t="n">
        <v>2673</v>
      </c>
      <c r="I118" s="15" t="n">
        <v>133</v>
      </c>
      <c r="J118" s="16" t="n">
        <v>65.66666666666667</v>
      </c>
      <c r="K118" s="16">
        <f>IFERROR(J118/30,0)</f>
        <v/>
      </c>
      <c r="L118" s="15" t="n">
        <v>1</v>
      </c>
      <c r="M118" s="17" t="n">
        <v>0.9667</v>
      </c>
      <c r="N118" s="15" t="n">
        <v>1</v>
      </c>
      <c r="O118" s="15" t="n">
        <v>1</v>
      </c>
      <c r="P118" s="15" t="n">
        <v>0</v>
      </c>
      <c r="Q118" s="12" t="n">
        <v>0</v>
      </c>
      <c r="R118" s="12" t="n">
        <v>0</v>
      </c>
      <c r="S118" s="15">
        <f>H118+Q118-R118</f>
        <v/>
      </c>
      <c r="T118" s="12" t="n">
        <v>14</v>
      </c>
      <c r="U118" s="12" t="n">
        <v>7</v>
      </c>
      <c r="V118" s="12" t="n">
        <v>7</v>
      </c>
      <c r="W118" s="16">
        <f>K118*(T118+U118)</f>
        <v/>
      </c>
      <c r="X118" s="16">
        <f>K118*(T118+U118+V118)</f>
        <v/>
      </c>
      <c r="Y118" s="16">
        <f>IF(K118&gt;0,H118/K118,99999)</f>
        <v/>
      </c>
      <c r="Z118" s="14">
        <f>IF(AND(OR(L118&gt;=1,M118&lt;0.95),Y118&gt;120),"DATA CONFLICT - VERIFY",IF(OR(L118&gt;=1,M118&lt;0.95,Y118&lt;=14),"SERVICE / STOCKOUT REVIEW",IF(Y118&gt;120,"OVERSTOCK REVIEW",IF(S118&lt;=W118,"REPLENISHMENT REVIEW","NORMAL MONITORING"))))</f>
        <v/>
      </c>
      <c r="AA118" s="15">
        <f>IF(OR(Z118="DATA CONFLICT - VERIFY",Z118="SERVICE / STOCKOUT REVIEW"),0,IF(S118&lt;=W118,MAX(0,ROUNDUP(X118-S118,0)),0))</f>
        <v/>
      </c>
      <c r="AB118" s="14">
        <f>IF(Z118="DATA CONFLICT - VERIFY","P1 - DATA CONFLICT",IF(Z118="SERVICE / STOCKOUT REVIEW","P1 - SERVICE",IF(Z118="OVERSTOCK REVIEW","P2 - OVERSTOCK",IF(Z118="REPLENISHMENT REVIEW","P2 - REPLENISH","P3 - MONITOR"))))</f>
        <v/>
      </c>
      <c r="AC118" s="16" t="n">
        <v>811.8865136951651</v>
      </c>
      <c r="AD118" s="16" t="n">
        <v>584.9642331173665</v>
      </c>
      <c r="AE118" s="16">
        <f>IF(OR(AD118="",H118=""),"",H118*AD118)</f>
        <v/>
      </c>
    </row>
    <row r="119">
      <c r="A119" s="7" t="inlineStr">
        <is>
          <t>2022-12-31</t>
        </is>
      </c>
      <c r="B119" s="7" t="n">
        <v>792</v>
      </c>
      <c r="C119" s="8" t="inlineStr">
        <is>
          <t>HanoiStreet RP-80</t>
        </is>
      </c>
      <c r="D119" s="8" t="inlineStr">
        <is>
          <t>Outdoor</t>
        </is>
      </c>
      <c r="E119" s="7" t="inlineStr">
        <is>
          <t>Activewear</t>
        </is>
      </c>
      <c r="F119" s="7" t="inlineStr">
        <is>
          <t>S</t>
        </is>
      </c>
      <c r="G119" s="7" t="inlineStr">
        <is>
          <t>orange</t>
        </is>
      </c>
      <c r="H119" s="9" t="n">
        <v>2617</v>
      </c>
      <c r="I119" s="9" t="n">
        <v>133</v>
      </c>
      <c r="J119" s="10" t="n">
        <v>65.66666666666667</v>
      </c>
      <c r="K119" s="10">
        <f>IFERROR(J119/30,0)</f>
        <v/>
      </c>
      <c r="L119" s="9" t="n">
        <v>1</v>
      </c>
      <c r="M119" s="11" t="n">
        <v>0.9667</v>
      </c>
      <c r="N119" s="9" t="n">
        <v>1</v>
      </c>
      <c r="O119" s="9" t="n">
        <v>1</v>
      </c>
      <c r="P119" s="9" t="n">
        <v>0</v>
      </c>
      <c r="Q119" s="12" t="n">
        <v>0</v>
      </c>
      <c r="R119" s="12" t="n">
        <v>0</v>
      </c>
      <c r="S119" s="9">
        <f>H119+Q119-R119</f>
        <v/>
      </c>
      <c r="T119" s="12" t="n">
        <v>14</v>
      </c>
      <c r="U119" s="12" t="n">
        <v>7</v>
      </c>
      <c r="V119" s="12" t="n">
        <v>7</v>
      </c>
      <c r="W119" s="10">
        <f>K119*(T119+U119)</f>
        <v/>
      </c>
      <c r="X119" s="10">
        <f>K119*(T119+U119+V119)</f>
        <v/>
      </c>
      <c r="Y119" s="10">
        <f>IF(K119&gt;0,H119/K119,99999)</f>
        <v/>
      </c>
      <c r="Z119" s="8">
        <f>IF(AND(OR(L119&gt;=1,M119&lt;0.95),Y119&gt;120),"DATA CONFLICT - VERIFY",IF(OR(L119&gt;=1,M119&lt;0.95,Y119&lt;=14),"SERVICE / STOCKOUT REVIEW",IF(Y119&gt;120,"OVERSTOCK REVIEW",IF(S119&lt;=W119,"REPLENISHMENT REVIEW","NORMAL MONITORING"))))</f>
        <v/>
      </c>
      <c r="AA119" s="9">
        <f>IF(OR(Z119="DATA CONFLICT - VERIFY",Z119="SERVICE / STOCKOUT REVIEW"),0,IF(S119&lt;=W119,MAX(0,ROUNDUP(X119-S119,0)),0))</f>
        <v/>
      </c>
      <c r="AB119" s="8">
        <f>IF(Z119="DATA CONFLICT - VERIFY","P1 - DATA CONFLICT",IF(Z119="SERVICE / STOCKOUT REVIEW","P1 - SERVICE",IF(Z119="OVERSTOCK REVIEW","P2 - OVERSTOCK",IF(Z119="REPLENISHMENT REVIEW","P2 - REPLENISH","P3 - MONITOR"))))</f>
        <v/>
      </c>
      <c r="AC119" s="10" t="n">
        <v>811.8865136951651</v>
      </c>
      <c r="AD119" s="10" t="n">
        <v>649.2656450020236</v>
      </c>
      <c r="AE119" s="10">
        <f>IF(OR(AD119="",H119=""),"",H119*AD119)</f>
        <v/>
      </c>
    </row>
    <row r="120">
      <c r="A120" s="13" t="inlineStr">
        <is>
          <t>2022-12-31</t>
        </is>
      </c>
      <c r="B120" s="13" t="n">
        <v>793</v>
      </c>
      <c r="C120" s="14" t="inlineStr">
        <is>
          <t>HanoiStreet RP-81</t>
        </is>
      </c>
      <c r="D120" s="14" t="inlineStr">
        <is>
          <t>Outdoor</t>
        </is>
      </c>
      <c r="E120" s="13" t="inlineStr">
        <is>
          <t>Activewear</t>
        </is>
      </c>
      <c r="F120" s="13" t="inlineStr">
        <is>
          <t>M</t>
        </is>
      </c>
      <c r="G120" s="13" t="inlineStr">
        <is>
          <t>blue</t>
        </is>
      </c>
      <c r="H120" s="15" t="n">
        <v>1133</v>
      </c>
      <c r="I120" s="15" t="n">
        <v>31</v>
      </c>
      <c r="J120" s="16" t="n">
        <v>16.66666666666667</v>
      </c>
      <c r="K120" s="16">
        <f>IFERROR(J120/30,0)</f>
        <v/>
      </c>
      <c r="L120" s="15" t="n">
        <v>0</v>
      </c>
      <c r="M120" s="17" t="n">
        <v>1</v>
      </c>
      <c r="N120" s="15" t="n">
        <v>0</v>
      </c>
      <c r="O120" s="15" t="n">
        <v>1</v>
      </c>
      <c r="P120" s="15" t="n">
        <v>0</v>
      </c>
      <c r="Q120" s="12" t="n">
        <v>0</v>
      </c>
      <c r="R120" s="12" t="n">
        <v>0</v>
      </c>
      <c r="S120" s="15">
        <f>H120+Q120-R120</f>
        <v/>
      </c>
      <c r="T120" s="12" t="n">
        <v>14</v>
      </c>
      <c r="U120" s="12" t="n">
        <v>7</v>
      </c>
      <c r="V120" s="12" t="n">
        <v>7</v>
      </c>
      <c r="W120" s="16">
        <f>K120*(T120+U120)</f>
        <v/>
      </c>
      <c r="X120" s="16">
        <f>K120*(T120+U120+V120)</f>
        <v/>
      </c>
      <c r="Y120" s="16">
        <f>IF(K120&gt;0,H120/K120,99999)</f>
        <v/>
      </c>
      <c r="Z120" s="14">
        <f>IF(AND(OR(L120&gt;=1,M120&lt;0.95),Y120&gt;120),"DATA CONFLICT - VERIFY",IF(OR(L120&gt;=1,M120&lt;0.95,Y120&lt;=14),"SERVICE / STOCKOUT REVIEW",IF(Y120&gt;120,"OVERSTOCK REVIEW",IF(S120&lt;=W120,"REPLENISHMENT REVIEW","NORMAL MONITORING"))))</f>
        <v/>
      </c>
      <c r="AA120" s="15">
        <f>IF(OR(Z120="DATA CONFLICT - VERIFY",Z120="SERVICE / STOCKOUT REVIEW"),0,IF(S120&lt;=W120,MAX(0,ROUNDUP(X120-S120,0)),0))</f>
        <v/>
      </c>
      <c r="AB120" s="14">
        <f>IF(Z120="DATA CONFLICT - VERIFY","P1 - DATA CONFLICT",IF(Z120="SERVICE / STOCKOUT REVIEW","P1 - SERVICE",IF(Z120="OVERSTOCK REVIEW","P2 - OVERSTOCK",IF(Z120="REPLENISHMENT REVIEW","P2 - REPLENISH","P3 - MONITOR"))))</f>
        <v/>
      </c>
      <c r="AC120" s="16" t="n">
        <v>1012.756364088948</v>
      </c>
      <c r="AD120" s="16" t="n">
        <v>643.5053937421175</v>
      </c>
      <c r="AE120" s="16">
        <f>IF(OR(AD120="",H120=""),"",H120*AD120)</f>
        <v/>
      </c>
    </row>
    <row r="121">
      <c r="A121" s="7" t="inlineStr">
        <is>
          <t>2022-12-31</t>
        </is>
      </c>
      <c r="B121" s="7" t="n">
        <v>794</v>
      </c>
      <c r="C121" s="8" t="inlineStr">
        <is>
          <t>HanoiStreet RP-82</t>
        </is>
      </c>
      <c r="D121" s="8" t="inlineStr">
        <is>
          <t>Outdoor</t>
        </is>
      </c>
      <c r="E121" s="7" t="inlineStr">
        <is>
          <t>Activewear</t>
        </is>
      </c>
      <c r="F121" s="7" t="inlineStr">
        <is>
          <t>L</t>
        </is>
      </c>
      <c r="G121" s="7" t="inlineStr">
        <is>
          <t>white</t>
        </is>
      </c>
      <c r="H121" s="9" t="n">
        <v>1169</v>
      </c>
      <c r="I121" s="9" t="n">
        <v>31</v>
      </c>
      <c r="J121" s="10" t="n">
        <v>16.66666666666667</v>
      </c>
      <c r="K121" s="10">
        <f>IFERROR(J121/30,0)</f>
        <v/>
      </c>
      <c r="L121" s="9" t="n">
        <v>1</v>
      </c>
      <c r="M121" s="11" t="n">
        <v>0.9667</v>
      </c>
      <c r="N121" s="9" t="n">
        <v>1</v>
      </c>
      <c r="O121" s="9" t="n">
        <v>1</v>
      </c>
      <c r="P121" s="9" t="n">
        <v>0</v>
      </c>
      <c r="Q121" s="12" t="n">
        <v>0</v>
      </c>
      <c r="R121" s="12" t="n">
        <v>0</v>
      </c>
      <c r="S121" s="9">
        <f>H121+Q121-R121</f>
        <v/>
      </c>
      <c r="T121" s="12" t="n">
        <v>14</v>
      </c>
      <c r="U121" s="12" t="n">
        <v>7</v>
      </c>
      <c r="V121" s="12" t="n">
        <v>7</v>
      </c>
      <c r="W121" s="10">
        <f>K121*(T121+U121)</f>
        <v/>
      </c>
      <c r="X121" s="10">
        <f>K121*(T121+U121+V121)</f>
        <v/>
      </c>
      <c r="Y121" s="10">
        <f>IF(K121&gt;0,H121/K121,99999)</f>
        <v/>
      </c>
      <c r="Z121" s="8">
        <f>IF(AND(OR(L121&gt;=1,M121&lt;0.95),Y121&gt;120),"DATA CONFLICT - VERIFY",IF(OR(L121&gt;=1,M121&lt;0.95,Y121&lt;=14),"SERVICE / STOCKOUT REVIEW",IF(Y121&gt;120,"OVERSTOCK REVIEW",IF(S121&lt;=W121,"REPLENISHMENT REVIEW","NORMAL MONITORING"))))</f>
        <v/>
      </c>
      <c r="AA121" s="9">
        <f>IF(OR(Z121="DATA CONFLICT - VERIFY",Z121="SERVICE / STOCKOUT REVIEW"),0,IF(S121&lt;=W121,MAX(0,ROUNDUP(X121-S121,0)),0))</f>
        <v/>
      </c>
      <c r="AB121" s="8">
        <f>IF(Z121="DATA CONFLICT - VERIFY","P1 - DATA CONFLICT",IF(Z121="SERVICE / STOCKOUT REVIEW","P1 - SERVICE",IF(Z121="OVERSTOCK REVIEW","P2 - OVERSTOCK",IF(Z121="REPLENISHMENT REVIEW","P2 - REPLENISH","P3 - MONITOR"))))</f>
        <v/>
      </c>
      <c r="AC121" s="10" t="n">
        <v>1012.756364088948</v>
      </c>
      <c r="AD121" s="10" t="n">
        <v>962.1185458845003</v>
      </c>
      <c r="AE121" s="10">
        <f>IF(OR(AD121="",H121=""),"",H121*AD121)</f>
        <v/>
      </c>
    </row>
    <row r="122">
      <c r="A122" s="13" t="inlineStr">
        <is>
          <t>2022-12-31</t>
        </is>
      </c>
      <c r="B122" s="13" t="n">
        <v>807</v>
      </c>
      <c r="C122" s="14" t="inlineStr">
        <is>
          <t>HanoiStreet RS-11</t>
        </is>
      </c>
      <c r="D122" s="14" t="inlineStr">
        <is>
          <t>Outdoor</t>
        </is>
      </c>
      <c r="E122" s="13" t="inlineStr">
        <is>
          <t>Premium</t>
        </is>
      </c>
      <c r="F122" s="13" t="inlineStr">
        <is>
          <t>XL</t>
        </is>
      </c>
      <c r="G122" s="13" t="inlineStr">
        <is>
          <t>silver</t>
        </is>
      </c>
      <c r="H122" s="15" t="n">
        <v>98</v>
      </c>
      <c r="I122" s="15" t="n">
        <v>5</v>
      </c>
      <c r="J122" s="16" t="n">
        <v>4</v>
      </c>
      <c r="K122" s="16">
        <f>IFERROR(J122/30,0)</f>
        <v/>
      </c>
      <c r="L122" s="15" t="n">
        <v>0</v>
      </c>
      <c r="M122" s="17" t="n">
        <v>1</v>
      </c>
      <c r="N122" s="15" t="n">
        <v>0</v>
      </c>
      <c r="O122" s="15" t="n">
        <v>1</v>
      </c>
      <c r="P122" s="15" t="n">
        <v>0</v>
      </c>
      <c r="Q122" s="12" t="n">
        <v>0</v>
      </c>
      <c r="R122" s="12" t="n">
        <v>0</v>
      </c>
      <c r="S122" s="15">
        <f>H122+Q122-R122</f>
        <v/>
      </c>
      <c r="T122" s="12" t="n">
        <v>14</v>
      </c>
      <c r="U122" s="12" t="n">
        <v>7</v>
      </c>
      <c r="V122" s="12" t="n">
        <v>7</v>
      </c>
      <c r="W122" s="16">
        <f>K122*(T122+U122)</f>
        <v/>
      </c>
      <c r="X122" s="16">
        <f>K122*(T122+U122+V122)</f>
        <v/>
      </c>
      <c r="Y122" s="16">
        <f>IF(K122&gt;0,H122/K122,99999)</f>
        <v/>
      </c>
      <c r="Z122" s="14">
        <f>IF(AND(OR(L122&gt;=1,M122&lt;0.95),Y122&gt;120),"DATA CONFLICT - VERIFY",IF(OR(L122&gt;=1,M122&lt;0.95,Y122&lt;=14),"SERVICE / STOCKOUT REVIEW",IF(Y122&gt;120,"OVERSTOCK REVIEW",IF(S122&lt;=W122,"REPLENISHMENT REVIEW","NORMAL MONITORING"))))</f>
        <v/>
      </c>
      <c r="AA122" s="15">
        <f>IF(OR(Z122="DATA CONFLICT - VERIFY",Z122="SERVICE / STOCKOUT REVIEW"),0,IF(S122&lt;=W122,MAX(0,ROUNDUP(X122-S122,0)),0))</f>
        <v/>
      </c>
      <c r="AB122" s="14">
        <f>IF(Z122="DATA CONFLICT - VERIFY","P1 - DATA CONFLICT",IF(Z122="SERVICE / STOCKOUT REVIEW","P1 - SERVICE",IF(Z122="OVERSTOCK REVIEW","P2 - OVERSTOCK",IF(Z122="REPLENISHMENT REVIEW","P2 - REPLENISH","P3 - MONITOR"))))</f>
        <v/>
      </c>
      <c r="AC122" s="16" t="n">
        <v>2738.718</v>
      </c>
      <c r="AD122" s="16" t="n">
        <v>2004.1938324</v>
      </c>
      <c r="AE122" s="16">
        <f>IF(OR(AD122="",H122=""),"",H122*AD122)</f>
        <v/>
      </c>
    </row>
    <row r="123">
      <c r="A123" s="7" t="inlineStr">
        <is>
          <t>2022-12-31</t>
        </is>
      </c>
      <c r="B123" s="7" t="n">
        <v>808</v>
      </c>
      <c r="C123" s="8" t="inlineStr">
        <is>
          <t>HanoiStreet RS-12</t>
        </is>
      </c>
      <c r="D123" s="8" t="inlineStr">
        <is>
          <t>Outdoor</t>
        </is>
      </c>
      <c r="E123" s="7" t="inlineStr">
        <is>
          <t>Premium</t>
        </is>
      </c>
      <c r="F123" s="7" t="inlineStr">
        <is>
          <t>S</t>
        </is>
      </c>
      <c r="G123" s="7" t="inlineStr">
        <is>
          <t>pink</t>
        </is>
      </c>
      <c r="H123" s="9" t="n">
        <v>511</v>
      </c>
      <c r="I123" s="9" t="n">
        <v>26</v>
      </c>
      <c r="J123" s="10" t="n">
        <v>16</v>
      </c>
      <c r="K123" s="10">
        <f>IFERROR(J123/30,0)</f>
        <v/>
      </c>
      <c r="L123" s="9" t="n">
        <v>0</v>
      </c>
      <c r="M123" s="11" t="n">
        <v>1</v>
      </c>
      <c r="N123" s="9" t="n">
        <v>0</v>
      </c>
      <c r="O123" s="9" t="n">
        <v>1</v>
      </c>
      <c r="P123" s="9" t="n">
        <v>0</v>
      </c>
      <c r="Q123" s="12" t="n">
        <v>0</v>
      </c>
      <c r="R123" s="12" t="n">
        <v>0</v>
      </c>
      <c r="S123" s="9">
        <f>H123+Q123-R123</f>
        <v/>
      </c>
      <c r="T123" s="12" t="n">
        <v>14</v>
      </c>
      <c r="U123" s="12" t="n">
        <v>7</v>
      </c>
      <c r="V123" s="12" t="n">
        <v>7</v>
      </c>
      <c r="W123" s="10">
        <f>K123*(T123+U123)</f>
        <v/>
      </c>
      <c r="X123" s="10">
        <f>K123*(T123+U123+V123)</f>
        <v/>
      </c>
      <c r="Y123" s="10">
        <f>IF(K123&gt;0,H123/K123,99999)</f>
        <v/>
      </c>
      <c r="Z123" s="8">
        <f>IF(AND(OR(L123&gt;=1,M123&lt;0.95),Y123&gt;120),"DATA CONFLICT - VERIFY",IF(OR(L123&gt;=1,M123&lt;0.95,Y123&lt;=14),"SERVICE / STOCKOUT REVIEW",IF(Y123&gt;120,"OVERSTOCK REVIEW",IF(S123&lt;=W123,"REPLENISHMENT REVIEW","NORMAL MONITORING"))))</f>
        <v/>
      </c>
      <c r="AA123" s="9">
        <f>IF(OR(Z123="DATA CONFLICT - VERIFY",Z123="SERVICE / STOCKOUT REVIEW"),0,IF(S123&lt;=W123,MAX(0,ROUNDUP(X123-S123,0)),0))</f>
        <v/>
      </c>
      <c r="AB123" s="8">
        <f>IF(Z123="DATA CONFLICT - VERIFY","P1 - DATA CONFLICT",IF(Z123="SERVICE / STOCKOUT REVIEW","P1 - SERVICE",IF(Z123="OVERSTOCK REVIEW","P2 - OVERSTOCK",IF(Z123="REPLENISHMENT REVIEW","P2 - REPLENISH","P3 - MONITOR"))))</f>
        <v/>
      </c>
      <c r="AC123" s="10" t="n">
        <v>4185.669242738589</v>
      </c>
      <c r="AD123" s="10" t="n">
        <v>2473.311955534232</v>
      </c>
      <c r="AE123" s="10">
        <f>IF(OR(AD123="",H123=""),"",H123*AD123)</f>
        <v/>
      </c>
    </row>
    <row r="124">
      <c r="A124" s="13" t="inlineStr">
        <is>
          <t>2022-12-31</t>
        </is>
      </c>
      <c r="B124" s="13" t="n">
        <v>809</v>
      </c>
      <c r="C124" s="14" t="inlineStr">
        <is>
          <t>HanoiStreet RS-13</t>
        </is>
      </c>
      <c r="D124" s="14" t="inlineStr">
        <is>
          <t>Outdoor</t>
        </is>
      </c>
      <c r="E124" s="13" t="inlineStr">
        <is>
          <t>Premium</t>
        </is>
      </c>
      <c r="F124" s="13" t="inlineStr">
        <is>
          <t>M</t>
        </is>
      </c>
      <c r="G124" s="13" t="inlineStr">
        <is>
          <t>yellow</t>
        </is>
      </c>
      <c r="H124" s="15" t="n">
        <v>209</v>
      </c>
      <c r="I124" s="15" t="n">
        <v>14</v>
      </c>
      <c r="J124" s="16" t="n">
        <v>9.333333333333334</v>
      </c>
      <c r="K124" s="16">
        <f>IFERROR(J124/30,0)</f>
        <v/>
      </c>
      <c r="L124" s="15" t="n">
        <v>1</v>
      </c>
      <c r="M124" s="17" t="n">
        <v>0.9667</v>
      </c>
      <c r="N124" s="15" t="n">
        <v>1</v>
      </c>
      <c r="O124" s="15" t="n">
        <v>1</v>
      </c>
      <c r="P124" s="15" t="n">
        <v>0</v>
      </c>
      <c r="Q124" s="12" t="n">
        <v>0</v>
      </c>
      <c r="R124" s="12" t="n">
        <v>0</v>
      </c>
      <c r="S124" s="15">
        <f>H124+Q124-R124</f>
        <v/>
      </c>
      <c r="T124" s="12" t="n">
        <v>14</v>
      </c>
      <c r="U124" s="12" t="n">
        <v>7</v>
      </c>
      <c r="V124" s="12" t="n">
        <v>7</v>
      </c>
      <c r="W124" s="16">
        <f>K124*(T124+U124)</f>
        <v/>
      </c>
      <c r="X124" s="16">
        <f>K124*(T124+U124+V124)</f>
        <v/>
      </c>
      <c r="Y124" s="16">
        <f>IF(K124&gt;0,H124/K124,99999)</f>
        <v/>
      </c>
      <c r="Z124" s="14">
        <f>IF(AND(OR(L124&gt;=1,M124&lt;0.95),Y124&gt;120),"DATA CONFLICT - VERIFY",IF(OR(L124&gt;=1,M124&lt;0.95,Y124&lt;=14),"SERVICE / STOCKOUT REVIEW",IF(Y124&gt;120,"OVERSTOCK REVIEW",IF(S124&lt;=W124,"REPLENISHMENT REVIEW","NORMAL MONITORING"))))</f>
        <v/>
      </c>
      <c r="AA124" s="15">
        <f>IF(OR(Z124="DATA CONFLICT - VERIFY",Z124="SERVICE / STOCKOUT REVIEW"),0,IF(S124&lt;=W124,MAX(0,ROUNDUP(X124-S124,0)),0))</f>
        <v/>
      </c>
      <c r="AB124" s="14">
        <f>IF(Z124="DATA CONFLICT - VERIFY","P1 - DATA CONFLICT",IF(Z124="SERVICE / STOCKOUT REVIEW","P1 - SERVICE",IF(Z124="OVERSTOCK REVIEW","P2 - OVERSTOCK",IF(Z124="REPLENISHMENT REVIEW","P2 - REPLENISH","P3 - MONITOR"))))</f>
        <v/>
      </c>
      <c r="AC124" s="16" t="n">
        <v>2845.616314655173</v>
      </c>
      <c r="AD124" s="16" t="n">
        <v>1471.183634676724</v>
      </c>
      <c r="AE124" s="16">
        <f>IF(OR(AD124="",H124=""),"",H124*AD124)</f>
        <v/>
      </c>
    </row>
    <row r="125">
      <c r="A125" s="7" t="inlineStr">
        <is>
          <t>2022-12-31</t>
        </is>
      </c>
      <c r="B125" s="7" t="n">
        <v>816</v>
      </c>
      <c r="C125" s="8" t="inlineStr">
        <is>
          <t>HanoiStreet RS-20</t>
        </is>
      </c>
      <c r="D125" s="8" t="inlineStr">
        <is>
          <t>Outdoor</t>
        </is>
      </c>
      <c r="E125" s="7" t="inlineStr">
        <is>
          <t>Premium</t>
        </is>
      </c>
      <c r="F125" s="7" t="inlineStr">
        <is>
          <t>S</t>
        </is>
      </c>
      <c r="G125" s="7" t="inlineStr">
        <is>
          <t>green</t>
        </is>
      </c>
      <c r="H125" s="9" t="n">
        <v>319</v>
      </c>
      <c r="I125" s="9" t="n">
        <v>27</v>
      </c>
      <c r="J125" s="10" t="n">
        <v>30.66666666666667</v>
      </c>
      <c r="K125" s="10">
        <f>IFERROR(J125/30,0)</f>
        <v/>
      </c>
      <c r="L125" s="9" t="n">
        <v>2</v>
      </c>
      <c r="M125" s="11" t="n">
        <v>0.9333</v>
      </c>
      <c r="N125" s="9" t="n">
        <v>1</v>
      </c>
      <c r="O125" s="9" t="n">
        <v>1</v>
      </c>
      <c r="P125" s="9" t="n">
        <v>0</v>
      </c>
      <c r="Q125" s="12" t="n">
        <v>0</v>
      </c>
      <c r="R125" s="12" t="n">
        <v>0</v>
      </c>
      <c r="S125" s="9">
        <f>H125+Q125-R125</f>
        <v/>
      </c>
      <c r="T125" s="12" t="n">
        <v>14</v>
      </c>
      <c r="U125" s="12" t="n">
        <v>7</v>
      </c>
      <c r="V125" s="12" t="n">
        <v>7</v>
      </c>
      <c r="W125" s="10">
        <f>K125*(T125+U125)</f>
        <v/>
      </c>
      <c r="X125" s="10">
        <f>K125*(T125+U125+V125)</f>
        <v/>
      </c>
      <c r="Y125" s="10">
        <f>IF(K125&gt;0,H125/K125,99999)</f>
        <v/>
      </c>
      <c r="Z125" s="8">
        <f>IF(AND(OR(L125&gt;=1,M125&lt;0.95),Y125&gt;120),"DATA CONFLICT - VERIFY",IF(OR(L125&gt;=1,M125&lt;0.95,Y125&lt;=14),"SERVICE / STOCKOUT REVIEW",IF(Y125&gt;120,"OVERSTOCK REVIEW",IF(S125&lt;=W125,"REPLENISHMENT REVIEW","NORMAL MONITORING"))))</f>
        <v/>
      </c>
      <c r="AA125" s="9">
        <f>IF(OR(Z125="DATA CONFLICT - VERIFY",Z125="SERVICE / STOCKOUT REVIEW"),0,IF(S125&lt;=W125,MAX(0,ROUNDUP(X125-S125,0)),0))</f>
        <v/>
      </c>
      <c r="AB125" s="8">
        <f>IF(Z125="DATA CONFLICT - VERIFY","P1 - DATA CONFLICT",IF(Z125="SERVICE / STOCKOUT REVIEW","P1 - SERVICE",IF(Z125="OVERSTOCK REVIEW","P2 - OVERSTOCK",IF(Z125="REPLENISHMENT REVIEW","P2 - REPLENISH","P3 - MONITOR"))))</f>
        <v/>
      </c>
      <c r="AC125" s="10" t="n">
        <v>4614.077052476704</v>
      </c>
      <c r="AD125" s="10" t="n">
        <v>3811.689053051005</v>
      </c>
      <c r="AE125" s="10">
        <f>IF(OR(AD125="",H125=""),"",H125*AD125)</f>
        <v/>
      </c>
    </row>
    <row r="126">
      <c r="A126" s="13" t="inlineStr">
        <is>
          <t>2022-12-31</t>
        </is>
      </c>
      <c r="B126" s="13" t="n">
        <v>1059</v>
      </c>
      <c r="C126" s="14" t="inlineStr">
        <is>
          <t>MekongFit RP-05</t>
        </is>
      </c>
      <c r="D126" s="14" t="inlineStr">
        <is>
          <t>Outdoor</t>
        </is>
      </c>
      <c r="E126" s="13" t="inlineStr">
        <is>
          <t>Activewear</t>
        </is>
      </c>
      <c r="F126" s="13" t="inlineStr">
        <is>
          <t>XL</t>
        </is>
      </c>
      <c r="G126" s="13" t="inlineStr">
        <is>
          <t>yellow</t>
        </is>
      </c>
      <c r="H126" s="15" t="n">
        <v>147</v>
      </c>
      <c r="I126" s="15" t="n">
        <v>19</v>
      </c>
      <c r="J126" s="16" t="n">
        <v>12</v>
      </c>
      <c r="K126" s="16">
        <f>IFERROR(J126/30,0)</f>
        <v/>
      </c>
      <c r="L126" s="15" t="n">
        <v>2</v>
      </c>
      <c r="M126" s="17" t="n">
        <v>0.9333</v>
      </c>
      <c r="N126" s="15" t="n">
        <v>1</v>
      </c>
      <c r="O126" s="15" t="n">
        <v>1</v>
      </c>
      <c r="P126" s="15" t="n">
        <v>0</v>
      </c>
      <c r="Q126" s="12" t="n">
        <v>0</v>
      </c>
      <c r="R126" s="12" t="n">
        <v>0</v>
      </c>
      <c r="S126" s="15">
        <f>H126+Q126-R126</f>
        <v/>
      </c>
      <c r="T126" s="12" t="n">
        <v>14</v>
      </c>
      <c r="U126" s="12" t="n">
        <v>7</v>
      </c>
      <c r="V126" s="12" t="n">
        <v>7</v>
      </c>
      <c r="W126" s="16">
        <f>K126*(T126+U126)</f>
        <v/>
      </c>
      <c r="X126" s="16">
        <f>K126*(T126+U126+V126)</f>
        <v/>
      </c>
      <c r="Y126" s="16">
        <f>IF(K126&gt;0,H126/K126,99999)</f>
        <v/>
      </c>
      <c r="Z126" s="14">
        <f>IF(AND(OR(L126&gt;=1,M126&lt;0.95),Y126&gt;120),"DATA CONFLICT - VERIFY",IF(OR(L126&gt;=1,M126&lt;0.95,Y126&lt;=14),"SERVICE / STOCKOUT REVIEW",IF(Y126&gt;120,"OVERSTOCK REVIEW",IF(S126&lt;=W126,"REPLENISHMENT REVIEW","NORMAL MONITORING"))))</f>
        <v/>
      </c>
      <c r="AA126" s="15">
        <f>IF(OR(Z126="DATA CONFLICT - VERIFY",Z126="SERVICE / STOCKOUT REVIEW"),0,IF(S126&lt;=W126,MAX(0,ROUNDUP(X126-S126,0)),0))</f>
        <v/>
      </c>
      <c r="AB126" s="14">
        <f>IF(Z126="DATA CONFLICT - VERIFY","P1 - DATA CONFLICT",IF(Z126="SERVICE / STOCKOUT REVIEW","P1 - SERVICE",IF(Z126="OVERSTOCK REVIEW","P2 - OVERSTOCK",IF(Z126="REPLENISHMENT REVIEW","P2 - REPLENISH","P3 - MONITOR"))))</f>
        <v/>
      </c>
      <c r="AC126" s="16" t="n">
        <v>1979.360663900415</v>
      </c>
      <c r="AD126" s="16" t="n">
        <v>1058.364146987552</v>
      </c>
      <c r="AE126" s="16">
        <f>IF(OR(AD126="",H126=""),"",H126*AD126)</f>
        <v/>
      </c>
    </row>
    <row r="127">
      <c r="A127" s="7" t="inlineStr">
        <is>
          <t>2022-12-31</t>
        </is>
      </c>
      <c r="B127" s="7" t="n">
        <v>1060</v>
      </c>
      <c r="C127" s="8" t="inlineStr">
        <is>
          <t>MekongFit RP-06</t>
        </is>
      </c>
      <c r="D127" s="8" t="inlineStr">
        <is>
          <t>Outdoor</t>
        </is>
      </c>
      <c r="E127" s="7" t="inlineStr">
        <is>
          <t>Activewear</t>
        </is>
      </c>
      <c r="F127" s="7" t="inlineStr">
        <is>
          <t>S</t>
        </is>
      </c>
      <c r="G127" s="7" t="inlineStr">
        <is>
          <t>red</t>
        </is>
      </c>
      <c r="H127" s="9" t="n">
        <v>155</v>
      </c>
      <c r="I127" s="9" t="n">
        <v>19</v>
      </c>
      <c r="J127" s="10" t="n">
        <v>12</v>
      </c>
      <c r="K127" s="10">
        <f>IFERROR(J127/30,0)</f>
        <v/>
      </c>
      <c r="L127" s="9" t="n">
        <v>0</v>
      </c>
      <c r="M127" s="11" t="n">
        <v>1</v>
      </c>
      <c r="N127" s="9" t="n">
        <v>0</v>
      </c>
      <c r="O127" s="9" t="n">
        <v>1</v>
      </c>
      <c r="P127" s="9" t="n">
        <v>0</v>
      </c>
      <c r="Q127" s="12" t="n">
        <v>0</v>
      </c>
      <c r="R127" s="12" t="n">
        <v>0</v>
      </c>
      <c r="S127" s="9">
        <f>H127+Q127-R127</f>
        <v/>
      </c>
      <c r="T127" s="12" t="n">
        <v>14</v>
      </c>
      <c r="U127" s="12" t="n">
        <v>7</v>
      </c>
      <c r="V127" s="12" t="n">
        <v>7</v>
      </c>
      <c r="W127" s="10">
        <f>K127*(T127+U127)</f>
        <v/>
      </c>
      <c r="X127" s="10">
        <f>K127*(T127+U127+V127)</f>
        <v/>
      </c>
      <c r="Y127" s="10">
        <f>IF(K127&gt;0,H127/K127,99999)</f>
        <v/>
      </c>
      <c r="Z127" s="8">
        <f>IF(AND(OR(L127&gt;=1,M127&lt;0.95),Y127&gt;120),"DATA CONFLICT - VERIFY",IF(OR(L127&gt;=1,M127&lt;0.95,Y127&lt;=14),"SERVICE / STOCKOUT REVIEW",IF(Y127&gt;120,"OVERSTOCK REVIEW",IF(S127&lt;=W127,"REPLENISHMENT REVIEW","NORMAL MONITORING"))))</f>
        <v/>
      </c>
      <c r="AA127" s="9">
        <f>IF(OR(Z127="DATA CONFLICT - VERIFY",Z127="SERVICE / STOCKOUT REVIEW"),0,IF(S127&lt;=W127,MAX(0,ROUNDUP(X127-S127,0)),0))</f>
        <v/>
      </c>
      <c r="AB127" s="8">
        <f>IF(Z127="DATA CONFLICT - VERIFY","P1 - DATA CONFLICT",IF(Z127="SERVICE / STOCKOUT REVIEW","P1 - SERVICE",IF(Z127="OVERSTOCK REVIEW","P2 - OVERSTOCK",IF(Z127="REPLENISHMENT REVIEW","P2 - REPLENISH","P3 - MONITOR"))))</f>
        <v/>
      </c>
      <c r="AC127" s="10" t="n">
        <v>1979.360663900415</v>
      </c>
      <c r="AD127" s="10" t="n">
        <v>1361.800136763485</v>
      </c>
      <c r="AE127" s="10">
        <f>IF(OR(AD127="",H127=""),"",H127*AD127)</f>
        <v/>
      </c>
    </row>
    <row r="128">
      <c r="A128" s="13" t="inlineStr">
        <is>
          <t>2022-12-31</t>
        </is>
      </c>
      <c r="B128" s="13" t="n">
        <v>1061</v>
      </c>
      <c r="C128" s="14" t="inlineStr">
        <is>
          <t>MekongFit RP-07</t>
        </is>
      </c>
      <c r="D128" s="14" t="inlineStr">
        <is>
          <t>Outdoor</t>
        </is>
      </c>
      <c r="E128" s="13" t="inlineStr">
        <is>
          <t>Activewear</t>
        </is>
      </c>
      <c r="F128" s="13" t="inlineStr">
        <is>
          <t>M</t>
        </is>
      </c>
      <c r="G128" s="13" t="inlineStr">
        <is>
          <t>black</t>
        </is>
      </c>
      <c r="H128" s="15" t="n">
        <v>383</v>
      </c>
      <c r="I128" s="15" t="n">
        <v>3</v>
      </c>
      <c r="J128" s="16" t="n">
        <v>2.333333333333333</v>
      </c>
      <c r="K128" s="16">
        <f>IFERROR(J128/30,0)</f>
        <v/>
      </c>
      <c r="L128" s="15" t="n">
        <v>2</v>
      </c>
      <c r="M128" s="17" t="n">
        <v>0.9333</v>
      </c>
      <c r="N128" s="15" t="n">
        <v>1</v>
      </c>
      <c r="O128" s="15" t="n">
        <v>1</v>
      </c>
      <c r="P128" s="15" t="n">
        <v>0</v>
      </c>
      <c r="Q128" s="12" t="n">
        <v>0</v>
      </c>
      <c r="R128" s="12" t="n">
        <v>0</v>
      </c>
      <c r="S128" s="15">
        <f>H128+Q128-R128</f>
        <v/>
      </c>
      <c r="T128" s="12" t="n">
        <v>14</v>
      </c>
      <c r="U128" s="12" t="n">
        <v>7</v>
      </c>
      <c r="V128" s="12" t="n">
        <v>7</v>
      </c>
      <c r="W128" s="16">
        <f>K128*(T128+U128)</f>
        <v/>
      </c>
      <c r="X128" s="16">
        <f>K128*(T128+U128+V128)</f>
        <v/>
      </c>
      <c r="Y128" s="16">
        <f>IF(K128&gt;0,H128/K128,99999)</f>
        <v/>
      </c>
      <c r="Z128" s="14">
        <f>IF(AND(OR(L128&gt;=1,M128&lt;0.95),Y128&gt;120),"DATA CONFLICT - VERIFY",IF(OR(L128&gt;=1,M128&lt;0.95,Y128&lt;=14),"SERVICE / STOCKOUT REVIEW",IF(Y128&gt;120,"OVERSTOCK REVIEW",IF(S128&lt;=W128,"REPLENISHMENT REVIEW","NORMAL MONITORING"))))</f>
        <v/>
      </c>
      <c r="AA128" s="15">
        <f>IF(OR(Z128="DATA CONFLICT - VERIFY",Z128="SERVICE / STOCKOUT REVIEW"),0,IF(S128&lt;=W128,MAX(0,ROUNDUP(X128-S128,0)),0))</f>
        <v/>
      </c>
      <c r="AB128" s="14">
        <f>IF(Z128="DATA CONFLICT - VERIFY","P1 - DATA CONFLICT",IF(Z128="SERVICE / STOCKOUT REVIEW","P1 - SERVICE",IF(Z128="OVERSTOCK REVIEW","P2 - OVERSTOCK",IF(Z128="REPLENISHMENT REVIEW","P2 - REPLENISH","P3 - MONITOR"))))</f>
        <v/>
      </c>
      <c r="AC128" s="16" t="n">
        <v>1800.495665286812</v>
      </c>
      <c r="AD128" s="16" t="n">
        <v>1624.227139655233</v>
      </c>
      <c r="AE128" s="16">
        <f>IF(OR(AD128="",H128=""),"",H128*AD128)</f>
        <v/>
      </c>
    </row>
    <row r="129">
      <c r="A129" s="7" t="inlineStr">
        <is>
          <t>2022-12-31</t>
        </is>
      </c>
      <c r="B129" s="7" t="n">
        <v>1062</v>
      </c>
      <c r="C129" s="8" t="inlineStr">
        <is>
          <t>MekongFit RP-08</t>
        </is>
      </c>
      <c r="D129" s="8" t="inlineStr">
        <is>
          <t>Outdoor</t>
        </is>
      </c>
      <c r="E129" s="7" t="inlineStr">
        <is>
          <t>Activewear</t>
        </is>
      </c>
      <c r="F129" s="7" t="inlineStr">
        <is>
          <t>L</t>
        </is>
      </c>
      <c r="G129" s="7" t="inlineStr">
        <is>
          <t>orange</t>
        </is>
      </c>
      <c r="H129" s="9" t="n">
        <v>406</v>
      </c>
      <c r="I129" s="9" t="n">
        <v>3</v>
      </c>
      <c r="J129" s="10" t="n">
        <v>2.333333333333333</v>
      </c>
      <c r="K129" s="10">
        <f>IFERROR(J129/30,0)</f>
        <v/>
      </c>
      <c r="L129" s="9" t="n">
        <v>1</v>
      </c>
      <c r="M129" s="11" t="n">
        <v>0.9667</v>
      </c>
      <c r="N129" s="9" t="n">
        <v>1</v>
      </c>
      <c r="O129" s="9" t="n">
        <v>1</v>
      </c>
      <c r="P129" s="9" t="n">
        <v>0</v>
      </c>
      <c r="Q129" s="12" t="n">
        <v>0</v>
      </c>
      <c r="R129" s="12" t="n">
        <v>0</v>
      </c>
      <c r="S129" s="9">
        <f>H129+Q129-R129</f>
        <v/>
      </c>
      <c r="T129" s="12" t="n">
        <v>14</v>
      </c>
      <c r="U129" s="12" t="n">
        <v>7</v>
      </c>
      <c r="V129" s="12" t="n">
        <v>7</v>
      </c>
      <c r="W129" s="10">
        <f>K129*(T129+U129)</f>
        <v/>
      </c>
      <c r="X129" s="10">
        <f>K129*(T129+U129+V129)</f>
        <v/>
      </c>
      <c r="Y129" s="10">
        <f>IF(K129&gt;0,H129/K129,99999)</f>
        <v/>
      </c>
      <c r="Z129" s="8">
        <f>IF(AND(OR(L129&gt;=1,M129&lt;0.95),Y129&gt;120),"DATA CONFLICT - VERIFY",IF(OR(L129&gt;=1,M129&lt;0.95,Y129&lt;=14),"SERVICE / STOCKOUT REVIEW",IF(Y129&gt;120,"OVERSTOCK REVIEW",IF(S129&lt;=W129,"REPLENISHMENT REVIEW","NORMAL MONITORING"))))</f>
        <v/>
      </c>
      <c r="AA129" s="9">
        <f>IF(OR(Z129="DATA CONFLICT - VERIFY",Z129="SERVICE / STOCKOUT REVIEW"),0,IF(S129&lt;=W129,MAX(0,ROUNDUP(X129-S129,0)),0))</f>
        <v/>
      </c>
      <c r="AB129" s="8">
        <f>IF(Z129="DATA CONFLICT - VERIFY","P1 - DATA CONFLICT",IF(Z129="SERVICE / STOCKOUT REVIEW","P1 - SERVICE",IF(Z129="OVERSTOCK REVIEW","P2 - OVERSTOCK",IF(Z129="REPLENISHMENT REVIEW","P2 - REPLENISH","P3 - MONITOR"))))</f>
        <v/>
      </c>
      <c r="AC129" s="10" t="n">
        <v>1800.495665286812</v>
      </c>
      <c r="AD129" s="10" t="n">
        <v>1710.470882022472</v>
      </c>
      <c r="AE129" s="10">
        <f>IF(OR(AD129="",H129=""),"",H129*AD129)</f>
        <v/>
      </c>
    </row>
    <row r="130">
      <c r="A130" s="13" t="inlineStr">
        <is>
          <t>2022-12-31</t>
        </is>
      </c>
      <c r="B130" s="13" t="n">
        <v>1077</v>
      </c>
      <c r="C130" s="14" t="inlineStr">
        <is>
          <t>MekongFit RP-23</t>
        </is>
      </c>
      <c r="D130" s="14" t="inlineStr">
        <is>
          <t>Outdoor</t>
        </is>
      </c>
      <c r="E130" s="13" t="inlineStr">
        <is>
          <t>Activewear</t>
        </is>
      </c>
      <c r="F130" s="13" t="inlineStr">
        <is>
          <t>M</t>
        </is>
      </c>
      <c r="G130" s="13" t="inlineStr">
        <is>
          <t>silver</t>
        </is>
      </c>
      <c r="H130" s="15" t="n">
        <v>194</v>
      </c>
      <c r="I130" s="15" t="n">
        <v>1</v>
      </c>
      <c r="J130" s="16" t="n">
        <v>2.333333333333333</v>
      </c>
      <c r="K130" s="16">
        <f>IFERROR(J130/30,0)</f>
        <v/>
      </c>
      <c r="L130" s="15" t="n">
        <v>2</v>
      </c>
      <c r="M130" s="17" t="n">
        <v>0.9333</v>
      </c>
      <c r="N130" s="15" t="n">
        <v>1</v>
      </c>
      <c r="O130" s="15" t="n">
        <v>1</v>
      </c>
      <c r="P130" s="15" t="n">
        <v>0</v>
      </c>
      <c r="Q130" s="12" t="n">
        <v>0</v>
      </c>
      <c r="R130" s="12" t="n">
        <v>0</v>
      </c>
      <c r="S130" s="15">
        <f>H130+Q130-R130</f>
        <v/>
      </c>
      <c r="T130" s="12" t="n">
        <v>14</v>
      </c>
      <c r="U130" s="12" t="n">
        <v>7</v>
      </c>
      <c r="V130" s="12" t="n">
        <v>7</v>
      </c>
      <c r="W130" s="16">
        <f>K130*(T130+U130)</f>
        <v/>
      </c>
      <c r="X130" s="16">
        <f>K130*(T130+U130+V130)</f>
        <v/>
      </c>
      <c r="Y130" s="16">
        <f>IF(K130&gt;0,H130/K130,99999)</f>
        <v/>
      </c>
      <c r="Z130" s="14">
        <f>IF(AND(OR(L130&gt;=1,M130&lt;0.95),Y130&gt;120),"DATA CONFLICT - VERIFY",IF(OR(L130&gt;=1,M130&lt;0.95,Y130&lt;=14),"SERVICE / STOCKOUT REVIEW",IF(Y130&gt;120,"OVERSTOCK REVIEW",IF(S130&lt;=W130,"REPLENISHMENT REVIEW","NORMAL MONITORING"))))</f>
        <v/>
      </c>
      <c r="AA130" s="15">
        <f>IF(OR(Z130="DATA CONFLICT - VERIFY",Z130="SERVICE / STOCKOUT REVIEW"),0,IF(S130&lt;=W130,MAX(0,ROUNDUP(X130-S130,0)),0))</f>
        <v/>
      </c>
      <c r="AB130" s="14">
        <f>IF(Z130="DATA CONFLICT - VERIFY","P1 - DATA CONFLICT",IF(Z130="SERVICE / STOCKOUT REVIEW","P1 - SERVICE",IF(Z130="OVERSTOCK REVIEW","P2 - OVERSTOCK",IF(Z130="REPLENISHMENT REVIEW","P2 - REPLENISH","P3 - MONITOR"))))</f>
        <v/>
      </c>
      <c r="AC130" s="16" t="n">
        <v>4317.599357798164</v>
      </c>
      <c r="AD130" s="16" t="n">
        <v>4101.719389908256</v>
      </c>
      <c r="AE130" s="16">
        <f>IF(OR(AD130="",H130=""),"",H130*AD130)</f>
        <v/>
      </c>
    </row>
    <row r="131">
      <c r="A131" s="7" t="inlineStr">
        <is>
          <t>2022-12-31</t>
        </is>
      </c>
      <c r="B131" s="7" t="n">
        <v>1078</v>
      </c>
      <c r="C131" s="8" t="inlineStr">
        <is>
          <t>MekongFit RP-24</t>
        </is>
      </c>
      <c r="D131" s="8" t="inlineStr">
        <is>
          <t>Outdoor</t>
        </is>
      </c>
      <c r="E131" s="7" t="inlineStr">
        <is>
          <t>Activewear</t>
        </is>
      </c>
      <c r="F131" s="7" t="inlineStr">
        <is>
          <t>L</t>
        </is>
      </c>
      <c r="G131" s="7" t="inlineStr">
        <is>
          <t>pink</t>
        </is>
      </c>
      <c r="H131" s="9" t="n">
        <v>185</v>
      </c>
      <c r="I131" s="9" t="n">
        <v>1</v>
      </c>
      <c r="J131" s="10" t="n">
        <v>2.333333333333333</v>
      </c>
      <c r="K131" s="10">
        <f>IFERROR(J131/30,0)</f>
        <v/>
      </c>
      <c r="L131" s="9" t="n">
        <v>1</v>
      </c>
      <c r="M131" s="11" t="n">
        <v>0.9667</v>
      </c>
      <c r="N131" s="9" t="n">
        <v>1</v>
      </c>
      <c r="O131" s="9" t="n">
        <v>1</v>
      </c>
      <c r="P131" s="9" t="n">
        <v>0</v>
      </c>
      <c r="Q131" s="12" t="n">
        <v>0</v>
      </c>
      <c r="R131" s="12" t="n">
        <v>0</v>
      </c>
      <c r="S131" s="9">
        <f>H131+Q131-R131</f>
        <v/>
      </c>
      <c r="T131" s="12" t="n">
        <v>14</v>
      </c>
      <c r="U131" s="12" t="n">
        <v>7</v>
      </c>
      <c r="V131" s="12" t="n">
        <v>7</v>
      </c>
      <c r="W131" s="10">
        <f>K131*(T131+U131)</f>
        <v/>
      </c>
      <c r="X131" s="10">
        <f>K131*(T131+U131+V131)</f>
        <v/>
      </c>
      <c r="Y131" s="10">
        <f>IF(K131&gt;0,H131/K131,99999)</f>
        <v/>
      </c>
      <c r="Z131" s="8">
        <f>IF(AND(OR(L131&gt;=1,M131&lt;0.95),Y131&gt;120),"DATA CONFLICT - VERIFY",IF(OR(L131&gt;=1,M131&lt;0.95,Y131&lt;=14),"SERVICE / STOCKOUT REVIEW",IF(Y131&gt;120,"OVERSTOCK REVIEW",IF(S131&lt;=W131,"REPLENISHMENT REVIEW","NORMAL MONITORING"))))</f>
        <v/>
      </c>
      <c r="AA131" s="9">
        <f>IF(OR(Z131="DATA CONFLICT - VERIFY",Z131="SERVICE / STOCKOUT REVIEW"),0,IF(S131&lt;=W131,MAX(0,ROUNDUP(X131-S131,0)),0))</f>
        <v/>
      </c>
      <c r="AB131" s="8">
        <f>IF(Z131="DATA CONFLICT - VERIFY","P1 - DATA CONFLICT",IF(Z131="SERVICE / STOCKOUT REVIEW","P1 - SERVICE",IF(Z131="OVERSTOCK REVIEW","P2 - OVERSTOCK",IF(Z131="REPLENISHMENT REVIEW","P2 - REPLENISH","P3 - MONITOR"))))</f>
        <v/>
      </c>
      <c r="AC131" s="10" t="n">
        <v>4317.599357798164</v>
      </c>
      <c r="AD131" s="10" t="n">
        <v>3338.367823449541</v>
      </c>
      <c r="AE131" s="10">
        <f>IF(OR(AD131="",H131=""),"",H131*AD131)</f>
        <v/>
      </c>
    </row>
    <row r="132">
      <c r="A132" s="13" t="inlineStr">
        <is>
          <t>2022-12-31</t>
        </is>
      </c>
      <c r="B132" s="13" t="n">
        <v>1085</v>
      </c>
      <c r="C132" s="14" t="inlineStr">
        <is>
          <t>MekongFit RP-31</t>
        </is>
      </c>
      <c r="D132" s="14" t="inlineStr">
        <is>
          <t>Outdoor</t>
        </is>
      </c>
      <c r="E132" s="13" t="inlineStr">
        <is>
          <t>Activewear</t>
        </is>
      </c>
      <c r="F132" s="13" t="inlineStr">
        <is>
          <t>M</t>
        </is>
      </c>
      <c r="G132" s="13" t="inlineStr">
        <is>
          <t>purple</t>
        </is>
      </c>
      <c r="H132" s="15" t="n">
        <v>1390</v>
      </c>
      <c r="I132" s="15" t="n">
        <v>62</v>
      </c>
      <c r="J132" s="16" t="n">
        <v>30.33333333333333</v>
      </c>
      <c r="K132" s="16">
        <f>IFERROR(J132/30,0)</f>
        <v/>
      </c>
      <c r="L132" s="15" t="n">
        <v>2</v>
      </c>
      <c r="M132" s="17" t="n">
        <v>0.9333</v>
      </c>
      <c r="N132" s="15" t="n">
        <v>1</v>
      </c>
      <c r="O132" s="15" t="n">
        <v>1</v>
      </c>
      <c r="P132" s="15" t="n">
        <v>0</v>
      </c>
      <c r="Q132" s="12" t="n">
        <v>0</v>
      </c>
      <c r="R132" s="12" t="n">
        <v>0</v>
      </c>
      <c r="S132" s="15">
        <f>H132+Q132-R132</f>
        <v/>
      </c>
      <c r="T132" s="12" t="n">
        <v>14</v>
      </c>
      <c r="U132" s="12" t="n">
        <v>7</v>
      </c>
      <c r="V132" s="12" t="n">
        <v>7</v>
      </c>
      <c r="W132" s="16">
        <f>K132*(T132+U132)</f>
        <v/>
      </c>
      <c r="X132" s="16">
        <f>K132*(T132+U132+V132)</f>
        <v/>
      </c>
      <c r="Y132" s="16">
        <f>IF(K132&gt;0,H132/K132,99999)</f>
        <v/>
      </c>
      <c r="Z132" s="14">
        <f>IF(AND(OR(L132&gt;=1,M132&lt;0.95),Y132&gt;120),"DATA CONFLICT - VERIFY",IF(OR(L132&gt;=1,M132&lt;0.95,Y132&lt;=14),"SERVICE / STOCKOUT REVIEW",IF(Y132&gt;120,"OVERSTOCK REVIEW",IF(S132&lt;=W132,"REPLENISHMENT REVIEW","NORMAL MONITORING"))))</f>
        <v/>
      </c>
      <c r="AA132" s="15">
        <f>IF(OR(Z132="DATA CONFLICT - VERIFY",Z132="SERVICE / STOCKOUT REVIEW"),0,IF(S132&lt;=W132,MAX(0,ROUNDUP(X132-S132,0)),0))</f>
        <v/>
      </c>
      <c r="AB132" s="14">
        <f>IF(Z132="DATA CONFLICT - VERIFY","P1 - DATA CONFLICT",IF(Z132="SERVICE / STOCKOUT REVIEW","P1 - SERVICE",IF(Z132="OVERSTOCK REVIEW","P2 - OVERSTOCK",IF(Z132="REPLENISHMENT REVIEW","P2 - REPLENISH","P3 - MONITOR"))))</f>
        <v/>
      </c>
      <c r="AC132" s="16" t="n">
        <v>1139.500596065671</v>
      </c>
      <c r="AD132" s="16" t="n">
        <v>895.8753686268303</v>
      </c>
      <c r="AE132" s="16">
        <f>IF(OR(AD132="",H132=""),"",H132*AD132)</f>
        <v/>
      </c>
    </row>
    <row r="133">
      <c r="A133" s="7" t="inlineStr">
        <is>
          <t>2022-12-31</t>
        </is>
      </c>
      <c r="B133" s="7" t="n">
        <v>1086</v>
      </c>
      <c r="C133" s="8" t="inlineStr">
        <is>
          <t>MekongFit RP-32</t>
        </is>
      </c>
      <c r="D133" s="8" t="inlineStr">
        <is>
          <t>Outdoor</t>
        </is>
      </c>
      <c r="E133" s="7" t="inlineStr">
        <is>
          <t>Activewear</t>
        </is>
      </c>
      <c r="F133" s="7" t="inlineStr">
        <is>
          <t>L</t>
        </is>
      </c>
      <c r="G133" s="7" t="inlineStr">
        <is>
          <t>green</t>
        </is>
      </c>
      <c r="H133" s="9" t="n">
        <v>1373</v>
      </c>
      <c r="I133" s="9" t="n">
        <v>62</v>
      </c>
      <c r="J133" s="10" t="n">
        <v>30.33333333333333</v>
      </c>
      <c r="K133" s="10">
        <f>IFERROR(J133/30,0)</f>
        <v/>
      </c>
      <c r="L133" s="9" t="n">
        <v>0</v>
      </c>
      <c r="M133" s="11" t="n">
        <v>1</v>
      </c>
      <c r="N133" s="9" t="n">
        <v>0</v>
      </c>
      <c r="O133" s="9" t="n">
        <v>1</v>
      </c>
      <c r="P133" s="9" t="n">
        <v>0</v>
      </c>
      <c r="Q133" s="12" t="n">
        <v>0</v>
      </c>
      <c r="R133" s="12" t="n">
        <v>0</v>
      </c>
      <c r="S133" s="9">
        <f>H133+Q133-R133</f>
        <v/>
      </c>
      <c r="T133" s="12" t="n">
        <v>14</v>
      </c>
      <c r="U133" s="12" t="n">
        <v>7</v>
      </c>
      <c r="V133" s="12" t="n">
        <v>7</v>
      </c>
      <c r="W133" s="10">
        <f>K133*(T133+U133)</f>
        <v/>
      </c>
      <c r="X133" s="10">
        <f>K133*(T133+U133+V133)</f>
        <v/>
      </c>
      <c r="Y133" s="10">
        <f>IF(K133&gt;0,H133/K133,99999)</f>
        <v/>
      </c>
      <c r="Z133" s="8">
        <f>IF(AND(OR(L133&gt;=1,M133&lt;0.95),Y133&gt;120),"DATA CONFLICT - VERIFY",IF(OR(L133&gt;=1,M133&lt;0.95,Y133&lt;=14),"SERVICE / STOCKOUT REVIEW",IF(Y133&gt;120,"OVERSTOCK REVIEW",IF(S133&lt;=W133,"REPLENISHMENT REVIEW","NORMAL MONITORING"))))</f>
        <v/>
      </c>
      <c r="AA133" s="9">
        <f>IF(OR(Z133="DATA CONFLICT - VERIFY",Z133="SERVICE / STOCKOUT REVIEW"),0,IF(S133&lt;=W133,MAX(0,ROUNDUP(X133-S133,0)),0))</f>
        <v/>
      </c>
      <c r="AB133" s="8">
        <f>IF(Z133="DATA CONFLICT - VERIFY","P1 - DATA CONFLICT",IF(Z133="SERVICE / STOCKOUT REVIEW","P1 - SERVICE",IF(Z133="OVERSTOCK REVIEW","P2 - OVERSTOCK",IF(Z133="REPLENISHMENT REVIEW","P2 - REPLENISH","P3 - MONITOR"))))</f>
        <v/>
      </c>
      <c r="AC133" s="10" t="n">
        <v>1139.500596065671</v>
      </c>
      <c r="AD133" s="10" t="n">
        <v>846.3070926979735</v>
      </c>
      <c r="AE133" s="10">
        <f>IF(OR(AD133="",H133=""),"",H133*AD133)</f>
        <v/>
      </c>
    </row>
    <row r="134">
      <c r="A134" s="13" t="inlineStr">
        <is>
          <t>2022-12-31</t>
        </is>
      </c>
      <c r="B134" s="13" t="n">
        <v>1103</v>
      </c>
      <c r="C134" s="14" t="inlineStr">
        <is>
          <t>MekongFit RP-49</t>
        </is>
      </c>
      <c r="D134" s="14" t="inlineStr">
        <is>
          <t>Outdoor</t>
        </is>
      </c>
      <c r="E134" s="13" t="inlineStr">
        <is>
          <t>Activewear</t>
        </is>
      </c>
      <c r="F134" s="13" t="inlineStr">
        <is>
          <t>XL</t>
        </is>
      </c>
      <c r="G134" s="13" t="inlineStr">
        <is>
          <t>blue</t>
        </is>
      </c>
      <c r="H134" s="15" t="n">
        <v>99</v>
      </c>
      <c r="I134" s="15" t="n">
        <v>17</v>
      </c>
      <c r="J134" s="16" t="n">
        <v>9.666666666666666</v>
      </c>
      <c r="K134" s="16">
        <f>IFERROR(J134/30,0)</f>
        <v/>
      </c>
      <c r="L134" s="15" t="n">
        <v>2</v>
      </c>
      <c r="M134" s="17" t="n">
        <v>0.9333</v>
      </c>
      <c r="N134" s="15" t="n">
        <v>1</v>
      </c>
      <c r="O134" s="15" t="n">
        <v>1</v>
      </c>
      <c r="P134" s="15" t="n">
        <v>0</v>
      </c>
      <c r="Q134" s="12" t="n">
        <v>0</v>
      </c>
      <c r="R134" s="12" t="n">
        <v>0</v>
      </c>
      <c r="S134" s="15">
        <f>H134+Q134-R134</f>
        <v/>
      </c>
      <c r="T134" s="12" t="n">
        <v>14</v>
      </c>
      <c r="U134" s="12" t="n">
        <v>7</v>
      </c>
      <c r="V134" s="12" t="n">
        <v>7</v>
      </c>
      <c r="W134" s="16">
        <f>K134*(T134+U134)</f>
        <v/>
      </c>
      <c r="X134" s="16">
        <f>K134*(T134+U134+V134)</f>
        <v/>
      </c>
      <c r="Y134" s="16">
        <f>IF(K134&gt;0,H134/K134,99999)</f>
        <v/>
      </c>
      <c r="Z134" s="14">
        <f>IF(AND(OR(L134&gt;=1,M134&lt;0.95),Y134&gt;120),"DATA CONFLICT - VERIFY",IF(OR(L134&gt;=1,M134&lt;0.95,Y134&lt;=14),"SERVICE / STOCKOUT REVIEW",IF(Y134&gt;120,"OVERSTOCK REVIEW",IF(S134&lt;=W134,"REPLENISHMENT REVIEW","NORMAL MONITORING"))))</f>
        <v/>
      </c>
      <c r="AA134" s="15">
        <f>IF(OR(Z134="DATA CONFLICT - VERIFY",Z134="SERVICE / STOCKOUT REVIEW"),0,IF(S134&lt;=W134,MAX(0,ROUNDUP(X134-S134,0)),0))</f>
        <v/>
      </c>
      <c r="AB134" s="14">
        <f>IF(Z134="DATA CONFLICT - VERIFY","P1 - DATA CONFLICT",IF(Z134="SERVICE / STOCKOUT REVIEW","P1 - SERVICE",IF(Z134="OVERSTOCK REVIEW","P2 - OVERSTOCK",IF(Z134="REPLENISHMENT REVIEW","P2 - REPLENISH","P3 - MONITOR"))))</f>
        <v/>
      </c>
      <c r="AC134" s="16" t="n">
        <v>1792.702357247438</v>
      </c>
      <c r="AD134" s="16" t="n">
        <v>1145.895346752562</v>
      </c>
      <c r="AE134" s="16">
        <f>IF(OR(AD134="",H134=""),"",H134*AD134)</f>
        <v/>
      </c>
    </row>
    <row r="135">
      <c r="A135" s="7" t="inlineStr">
        <is>
          <t>2022-12-31</t>
        </is>
      </c>
      <c r="B135" s="7" t="n">
        <v>1104</v>
      </c>
      <c r="C135" s="8" t="inlineStr">
        <is>
          <t>MekongFit RP-50</t>
        </is>
      </c>
      <c r="D135" s="8" t="inlineStr">
        <is>
          <t>Outdoor</t>
        </is>
      </c>
      <c r="E135" s="7" t="inlineStr">
        <is>
          <t>Activewear</t>
        </is>
      </c>
      <c r="F135" s="7" t="inlineStr">
        <is>
          <t>S</t>
        </is>
      </c>
      <c r="G135" s="7" t="inlineStr">
        <is>
          <t>white</t>
        </is>
      </c>
      <c r="H135" s="9" t="n">
        <v>94</v>
      </c>
      <c r="I135" s="9" t="n">
        <v>17</v>
      </c>
      <c r="J135" s="10" t="n">
        <v>9.666666666666666</v>
      </c>
      <c r="K135" s="10">
        <f>IFERROR(J135/30,0)</f>
        <v/>
      </c>
      <c r="L135" s="9" t="n">
        <v>1</v>
      </c>
      <c r="M135" s="11" t="n">
        <v>0.9667</v>
      </c>
      <c r="N135" s="9" t="n">
        <v>1</v>
      </c>
      <c r="O135" s="9" t="n">
        <v>1</v>
      </c>
      <c r="P135" s="9" t="n">
        <v>0</v>
      </c>
      <c r="Q135" s="12" t="n">
        <v>0</v>
      </c>
      <c r="R135" s="12" t="n">
        <v>0</v>
      </c>
      <c r="S135" s="9">
        <f>H135+Q135-R135</f>
        <v/>
      </c>
      <c r="T135" s="12" t="n">
        <v>14</v>
      </c>
      <c r="U135" s="12" t="n">
        <v>7</v>
      </c>
      <c r="V135" s="12" t="n">
        <v>7</v>
      </c>
      <c r="W135" s="10">
        <f>K135*(T135+U135)</f>
        <v/>
      </c>
      <c r="X135" s="10">
        <f>K135*(T135+U135+V135)</f>
        <v/>
      </c>
      <c r="Y135" s="10">
        <f>IF(K135&gt;0,H135/K135,99999)</f>
        <v/>
      </c>
      <c r="Z135" s="8">
        <f>IF(AND(OR(L135&gt;=1,M135&lt;0.95),Y135&gt;120),"DATA CONFLICT - VERIFY",IF(OR(L135&gt;=1,M135&lt;0.95,Y135&lt;=14),"SERVICE / STOCKOUT REVIEW",IF(Y135&gt;120,"OVERSTOCK REVIEW",IF(S135&lt;=W135,"REPLENISHMENT REVIEW","NORMAL MONITORING"))))</f>
        <v/>
      </c>
      <c r="AA135" s="9">
        <f>IF(OR(Z135="DATA CONFLICT - VERIFY",Z135="SERVICE / STOCKOUT REVIEW"),0,IF(S135&lt;=W135,MAX(0,ROUNDUP(X135-S135,0)),0))</f>
        <v/>
      </c>
      <c r="AB135" s="8">
        <f>IF(Z135="DATA CONFLICT - VERIFY","P1 - DATA CONFLICT",IF(Z135="SERVICE / STOCKOUT REVIEW","P1 - SERVICE",IF(Z135="OVERSTOCK REVIEW","P2 - OVERSTOCK",IF(Z135="REPLENISHMENT REVIEW","P2 - REPLENISH","P3 - MONITOR"))))</f>
        <v/>
      </c>
      <c r="AC135" s="10" t="n">
        <v>1792.702357247438</v>
      </c>
      <c r="AD135" s="10" t="n">
        <v>1703.067239385066</v>
      </c>
      <c r="AE135" s="10">
        <f>IF(OR(AD135="",H135=""),"",H135*AD135)</f>
        <v/>
      </c>
    </row>
    <row r="136">
      <c r="A136" s="13" t="inlineStr">
        <is>
          <t>2022-12-31</t>
        </is>
      </c>
      <c r="B136" s="13" t="n">
        <v>1113</v>
      </c>
      <c r="C136" s="14" t="inlineStr">
        <is>
          <t>MekongFit RS-01</t>
        </is>
      </c>
      <c r="D136" s="14" t="inlineStr">
        <is>
          <t>Outdoor</t>
        </is>
      </c>
      <c r="E136" s="13" t="inlineStr">
        <is>
          <t>Premium</t>
        </is>
      </c>
      <c r="F136" s="13" t="inlineStr">
        <is>
          <t>M</t>
        </is>
      </c>
      <c r="G136" s="13" t="inlineStr">
        <is>
          <t>blue</t>
        </is>
      </c>
      <c r="H136" s="15" t="n">
        <v>69</v>
      </c>
      <c r="I136" s="15" t="n">
        <v>2</v>
      </c>
      <c r="J136" s="16" t="n">
        <v>1.666666666666667</v>
      </c>
      <c r="K136" s="16">
        <f>IFERROR(J136/30,0)</f>
        <v/>
      </c>
      <c r="L136" s="15" t="n">
        <v>2</v>
      </c>
      <c r="M136" s="17" t="n">
        <v>0.9333</v>
      </c>
      <c r="N136" s="15" t="n">
        <v>1</v>
      </c>
      <c r="O136" s="15" t="n">
        <v>1</v>
      </c>
      <c r="P136" s="15" t="n">
        <v>0</v>
      </c>
      <c r="Q136" s="12" t="n">
        <v>0</v>
      </c>
      <c r="R136" s="12" t="n">
        <v>0</v>
      </c>
      <c r="S136" s="15">
        <f>H136+Q136-R136</f>
        <v/>
      </c>
      <c r="T136" s="12" t="n">
        <v>14</v>
      </c>
      <c r="U136" s="12" t="n">
        <v>7</v>
      </c>
      <c r="V136" s="12" t="n">
        <v>7</v>
      </c>
      <c r="W136" s="16">
        <f>K136*(T136+U136)</f>
        <v/>
      </c>
      <c r="X136" s="16">
        <f>K136*(T136+U136+V136)</f>
        <v/>
      </c>
      <c r="Y136" s="16">
        <f>IF(K136&gt;0,H136/K136,99999)</f>
        <v/>
      </c>
      <c r="Z136" s="14">
        <f>IF(AND(OR(L136&gt;=1,M136&lt;0.95),Y136&gt;120),"DATA CONFLICT - VERIFY",IF(OR(L136&gt;=1,M136&lt;0.95,Y136&lt;=14),"SERVICE / STOCKOUT REVIEW",IF(Y136&gt;120,"OVERSTOCK REVIEW",IF(S136&lt;=W136,"REPLENISHMENT REVIEW","NORMAL MONITORING"))))</f>
        <v/>
      </c>
      <c r="AA136" s="15">
        <f>IF(OR(Z136="DATA CONFLICT - VERIFY",Z136="SERVICE / STOCKOUT REVIEW"),0,IF(S136&lt;=W136,MAX(0,ROUNDUP(X136-S136,0)),0))</f>
        <v/>
      </c>
      <c r="AB136" s="14">
        <f>IF(Z136="DATA CONFLICT - VERIFY","P1 - DATA CONFLICT",IF(Z136="SERVICE / STOCKOUT REVIEW","P1 - SERVICE",IF(Z136="OVERSTOCK REVIEW","P2 - OVERSTOCK",IF(Z136="REPLENISHMENT REVIEW","P2 - REPLENISH","P3 - MONITOR"))))</f>
        <v/>
      </c>
      <c r="AC136" s="16" t="n">
        <v>1870.894719101124</v>
      </c>
      <c r="AD136" s="16" t="n">
        <v>1564.62925358427</v>
      </c>
      <c r="AE136" s="16">
        <f>IF(OR(AD136="",H136=""),"",H136*AD136)</f>
        <v/>
      </c>
    </row>
    <row r="137">
      <c r="A137" s="7" t="inlineStr">
        <is>
          <t>2022-12-31</t>
        </is>
      </c>
      <c r="B137" s="7" t="n">
        <v>1114</v>
      </c>
      <c r="C137" s="8" t="inlineStr">
        <is>
          <t>MekongFit RS-02</t>
        </is>
      </c>
      <c r="D137" s="8" t="inlineStr">
        <is>
          <t>Outdoor</t>
        </is>
      </c>
      <c r="E137" s="7" t="inlineStr">
        <is>
          <t>Premium</t>
        </is>
      </c>
      <c r="F137" s="7" t="inlineStr">
        <is>
          <t>L</t>
        </is>
      </c>
      <c r="G137" s="7" t="inlineStr">
        <is>
          <t>white</t>
        </is>
      </c>
      <c r="H137" s="9" t="n">
        <v>275</v>
      </c>
      <c r="I137" s="9" t="n">
        <v>5</v>
      </c>
      <c r="J137" s="10" t="n">
        <v>6.333333333333333</v>
      </c>
      <c r="K137" s="10">
        <f>IFERROR(J137/30,0)</f>
        <v/>
      </c>
      <c r="L137" s="9" t="n">
        <v>1</v>
      </c>
      <c r="M137" s="11" t="n">
        <v>0.9667</v>
      </c>
      <c r="N137" s="9" t="n">
        <v>1</v>
      </c>
      <c r="O137" s="9" t="n">
        <v>1</v>
      </c>
      <c r="P137" s="9" t="n">
        <v>0</v>
      </c>
      <c r="Q137" s="12" t="n">
        <v>0</v>
      </c>
      <c r="R137" s="12" t="n">
        <v>0</v>
      </c>
      <c r="S137" s="9">
        <f>H137+Q137-R137</f>
        <v/>
      </c>
      <c r="T137" s="12" t="n">
        <v>14</v>
      </c>
      <c r="U137" s="12" t="n">
        <v>7</v>
      </c>
      <c r="V137" s="12" t="n">
        <v>7</v>
      </c>
      <c r="W137" s="10">
        <f>K137*(T137+U137)</f>
        <v/>
      </c>
      <c r="X137" s="10">
        <f>K137*(T137+U137+V137)</f>
        <v/>
      </c>
      <c r="Y137" s="10">
        <f>IF(K137&gt;0,H137/K137,99999)</f>
        <v/>
      </c>
      <c r="Z137" s="8">
        <f>IF(AND(OR(L137&gt;=1,M137&lt;0.95),Y137&gt;120),"DATA CONFLICT - VERIFY",IF(OR(L137&gt;=1,M137&lt;0.95,Y137&lt;=14),"SERVICE / STOCKOUT REVIEW",IF(Y137&gt;120,"OVERSTOCK REVIEW",IF(S137&lt;=W137,"REPLENISHMENT REVIEW","NORMAL MONITORING"))))</f>
        <v/>
      </c>
      <c r="AA137" s="9">
        <f>IF(OR(Z137="DATA CONFLICT - VERIFY",Z137="SERVICE / STOCKOUT REVIEW"),0,IF(S137&lt;=W137,MAX(0,ROUNDUP(X137-S137,0)),0))</f>
        <v/>
      </c>
      <c r="AB137" s="8">
        <f>IF(Z137="DATA CONFLICT - VERIFY","P1 - DATA CONFLICT",IF(Z137="SERVICE / STOCKOUT REVIEW","P1 - SERVICE",IF(Z137="OVERSTOCK REVIEW","P2 - OVERSTOCK",IF(Z137="REPLENISHMENT REVIEW","P2 - REPLENISH","P3 - MONITOR"))))</f>
        <v/>
      </c>
      <c r="AC137" s="10" t="n">
        <v>2070.64397260274</v>
      </c>
      <c r="AD137" s="10" t="n">
        <v>1556.503074205479</v>
      </c>
      <c r="AE137" s="10">
        <f>IF(OR(AD137="",H137=""),"",H137*AD137)</f>
        <v/>
      </c>
    </row>
    <row r="138">
      <c r="A138" s="13" t="inlineStr">
        <is>
          <t>2022-12-31</t>
        </is>
      </c>
      <c r="B138" s="13" t="n">
        <v>1115</v>
      </c>
      <c r="C138" s="14" t="inlineStr">
        <is>
          <t>MekongFit RS-03</t>
        </is>
      </c>
      <c r="D138" s="14" t="inlineStr">
        <is>
          <t>Outdoor</t>
        </is>
      </c>
      <c r="E138" s="13" t="inlineStr">
        <is>
          <t>Premium</t>
        </is>
      </c>
      <c r="F138" s="13" t="inlineStr">
        <is>
          <t>XL</t>
        </is>
      </c>
      <c r="G138" s="13" t="inlineStr">
        <is>
          <t>purple</t>
        </is>
      </c>
      <c r="H138" s="15" t="n">
        <v>457</v>
      </c>
      <c r="I138" s="15" t="n">
        <v>25</v>
      </c>
      <c r="J138" s="16" t="n">
        <v>20</v>
      </c>
      <c r="K138" s="16">
        <f>IFERROR(J138/30,0)</f>
        <v/>
      </c>
      <c r="L138" s="15" t="n">
        <v>0</v>
      </c>
      <c r="M138" s="17" t="n">
        <v>1</v>
      </c>
      <c r="N138" s="15" t="n">
        <v>0</v>
      </c>
      <c r="O138" s="15" t="n">
        <v>1</v>
      </c>
      <c r="P138" s="15" t="n">
        <v>0</v>
      </c>
      <c r="Q138" s="12" t="n">
        <v>0</v>
      </c>
      <c r="R138" s="12" t="n">
        <v>0</v>
      </c>
      <c r="S138" s="15">
        <f>H138+Q138-R138</f>
        <v/>
      </c>
      <c r="T138" s="12" t="n">
        <v>14</v>
      </c>
      <c r="U138" s="12" t="n">
        <v>7</v>
      </c>
      <c r="V138" s="12" t="n">
        <v>7</v>
      </c>
      <c r="W138" s="16">
        <f>K138*(T138+U138)</f>
        <v/>
      </c>
      <c r="X138" s="16">
        <f>K138*(T138+U138+V138)</f>
        <v/>
      </c>
      <c r="Y138" s="16">
        <f>IF(K138&gt;0,H138/K138,99999)</f>
        <v/>
      </c>
      <c r="Z138" s="14">
        <f>IF(AND(OR(L138&gt;=1,M138&lt;0.95),Y138&gt;120),"DATA CONFLICT - VERIFY",IF(OR(L138&gt;=1,M138&lt;0.95,Y138&lt;=14),"SERVICE / STOCKOUT REVIEW",IF(Y138&gt;120,"OVERSTOCK REVIEW",IF(S138&lt;=W138,"REPLENISHMENT REVIEW","NORMAL MONITORING"))))</f>
        <v/>
      </c>
      <c r="AA138" s="15">
        <f>IF(OR(Z138="DATA CONFLICT - VERIFY",Z138="SERVICE / STOCKOUT REVIEW"),0,IF(S138&lt;=W138,MAX(0,ROUNDUP(X138-S138,0)),0))</f>
        <v/>
      </c>
      <c r="AB138" s="14">
        <f>IF(Z138="DATA CONFLICT - VERIFY","P1 - DATA CONFLICT",IF(Z138="SERVICE / STOCKOUT REVIEW","P1 - SERVICE",IF(Z138="OVERSTOCK REVIEW","P2 - OVERSTOCK",IF(Z138="REPLENISHMENT REVIEW","P2 - REPLENISH","P3 - MONITOR"))))</f>
        <v/>
      </c>
      <c r="AC138" s="16" t="n">
        <v>4828.925116696589</v>
      </c>
      <c r="AD138" s="16" t="n">
        <v>4587.478860861759</v>
      </c>
      <c r="AE138" s="16">
        <f>IF(OR(AD138="",H138=""),"",H138*AD138)</f>
        <v/>
      </c>
    </row>
    <row r="139">
      <c r="A139" s="7" t="inlineStr">
        <is>
          <t>2022-12-31</t>
        </is>
      </c>
      <c r="B139" s="7" t="n">
        <v>1118</v>
      </c>
      <c r="C139" s="8" t="inlineStr">
        <is>
          <t>MekongFit RS-06</t>
        </is>
      </c>
      <c r="D139" s="8" t="inlineStr">
        <is>
          <t>Outdoor</t>
        </is>
      </c>
      <c r="E139" s="7" t="inlineStr">
        <is>
          <t>Premium</t>
        </is>
      </c>
      <c r="F139" s="7" t="inlineStr">
        <is>
          <t>L</t>
        </is>
      </c>
      <c r="G139" s="7" t="inlineStr">
        <is>
          <t>pink</t>
        </is>
      </c>
      <c r="H139" s="9" t="n">
        <v>70</v>
      </c>
      <c r="I139" s="9" t="n">
        <v>14</v>
      </c>
      <c r="J139" s="10" t="n">
        <v>18.33333333333333</v>
      </c>
      <c r="K139" s="10">
        <f>IFERROR(J139/30,0)</f>
        <v/>
      </c>
      <c r="L139" s="9" t="n">
        <v>0</v>
      </c>
      <c r="M139" s="11" t="n">
        <v>1</v>
      </c>
      <c r="N139" s="9" t="n">
        <v>0</v>
      </c>
      <c r="O139" s="9" t="n">
        <v>1</v>
      </c>
      <c r="P139" s="9" t="n">
        <v>0</v>
      </c>
      <c r="Q139" s="12" t="n">
        <v>0</v>
      </c>
      <c r="R139" s="12" t="n">
        <v>0</v>
      </c>
      <c r="S139" s="9">
        <f>H139+Q139-R139</f>
        <v/>
      </c>
      <c r="T139" s="12" t="n">
        <v>14</v>
      </c>
      <c r="U139" s="12" t="n">
        <v>7</v>
      </c>
      <c r="V139" s="12" t="n">
        <v>7</v>
      </c>
      <c r="W139" s="10">
        <f>K139*(T139+U139)</f>
        <v/>
      </c>
      <c r="X139" s="10">
        <f>K139*(T139+U139+V139)</f>
        <v/>
      </c>
      <c r="Y139" s="10">
        <f>IF(K139&gt;0,H139/K139,99999)</f>
        <v/>
      </c>
      <c r="Z139" s="8">
        <f>IF(AND(OR(L139&gt;=1,M139&lt;0.95),Y139&gt;120),"DATA CONFLICT - VERIFY",IF(OR(L139&gt;=1,M139&lt;0.95,Y139&lt;=14),"SERVICE / STOCKOUT REVIEW",IF(Y139&gt;120,"OVERSTOCK REVIEW",IF(S139&lt;=W139,"REPLENISHMENT REVIEW","NORMAL MONITORING"))))</f>
        <v/>
      </c>
      <c r="AA139" s="9">
        <f>IF(OR(Z139="DATA CONFLICT - VERIFY",Z139="SERVICE / STOCKOUT REVIEW"),0,IF(S139&lt;=W139,MAX(0,ROUNDUP(X139-S139,0)),0))</f>
        <v/>
      </c>
      <c r="AB139" s="8">
        <f>IF(Z139="DATA CONFLICT - VERIFY","P1 - DATA CONFLICT",IF(Z139="SERVICE / STOCKOUT REVIEW","P1 - SERVICE",IF(Z139="OVERSTOCK REVIEW","P2 - OVERSTOCK",IF(Z139="REPLENISHMENT REVIEW","P2 - REPLENISH","P3 - MONITOR"))))</f>
        <v/>
      </c>
      <c r="AC139" s="10" t="n">
        <v>4700.352035928144</v>
      </c>
      <c r="AD139" s="10" t="n">
        <v>4323.853837850299</v>
      </c>
      <c r="AE139" s="10">
        <f>IF(OR(AD139="",H139=""),"",H139*AD139)</f>
        <v/>
      </c>
    </row>
    <row r="140">
      <c r="A140" s="13" t="inlineStr">
        <is>
          <t>2022-12-31</t>
        </is>
      </c>
      <c r="B140" s="13" t="n">
        <v>1120</v>
      </c>
      <c r="C140" s="14" t="inlineStr">
        <is>
          <t>MekongFit RS-08</t>
        </is>
      </c>
      <c r="D140" s="14" t="inlineStr">
        <is>
          <t>Outdoor</t>
        </is>
      </c>
      <c r="E140" s="13" t="inlineStr">
        <is>
          <t>Premium</t>
        </is>
      </c>
      <c r="F140" s="13" t="inlineStr">
        <is>
          <t>S</t>
        </is>
      </c>
      <c r="G140" s="13" t="inlineStr">
        <is>
          <t>red</t>
        </is>
      </c>
      <c r="H140" s="15" t="n">
        <v>151</v>
      </c>
      <c r="I140" s="15" t="n">
        <v>5</v>
      </c>
      <c r="J140" s="16" t="n">
        <v>4.666666666666667</v>
      </c>
      <c r="K140" s="16">
        <f>IFERROR(J140/30,0)</f>
        <v/>
      </c>
      <c r="L140" s="15" t="n">
        <v>1</v>
      </c>
      <c r="M140" s="17" t="n">
        <v>0.9667</v>
      </c>
      <c r="N140" s="15" t="n">
        <v>1</v>
      </c>
      <c r="O140" s="15" t="n">
        <v>1</v>
      </c>
      <c r="P140" s="15" t="n">
        <v>0</v>
      </c>
      <c r="Q140" s="12" t="n">
        <v>0</v>
      </c>
      <c r="R140" s="12" t="n">
        <v>0</v>
      </c>
      <c r="S140" s="15">
        <f>H140+Q140-R140</f>
        <v/>
      </c>
      <c r="T140" s="12" t="n">
        <v>14</v>
      </c>
      <c r="U140" s="12" t="n">
        <v>7</v>
      </c>
      <c r="V140" s="12" t="n">
        <v>7</v>
      </c>
      <c r="W140" s="16">
        <f>K140*(T140+U140)</f>
        <v/>
      </c>
      <c r="X140" s="16">
        <f>K140*(T140+U140+V140)</f>
        <v/>
      </c>
      <c r="Y140" s="16">
        <f>IF(K140&gt;0,H140/K140,99999)</f>
        <v/>
      </c>
      <c r="Z140" s="14">
        <f>IF(AND(OR(L140&gt;=1,M140&lt;0.95),Y140&gt;120),"DATA CONFLICT - VERIFY",IF(OR(L140&gt;=1,M140&lt;0.95,Y140&lt;=14),"SERVICE / STOCKOUT REVIEW",IF(Y140&gt;120,"OVERSTOCK REVIEW",IF(S140&lt;=W140,"REPLENISHMENT REVIEW","NORMAL MONITORING"))))</f>
        <v/>
      </c>
      <c r="AA140" s="15">
        <f>IF(OR(Z140="DATA CONFLICT - VERIFY",Z140="SERVICE / STOCKOUT REVIEW"),0,IF(S140&lt;=W140,MAX(0,ROUNDUP(X140-S140,0)),0))</f>
        <v/>
      </c>
      <c r="AB140" s="14">
        <f>IF(Z140="DATA CONFLICT - VERIFY","P1 - DATA CONFLICT",IF(Z140="SERVICE / STOCKOUT REVIEW","P1 - SERVICE",IF(Z140="OVERSTOCK REVIEW","P2 - OVERSTOCK",IF(Z140="REPLENISHMENT REVIEW","P2 - REPLENISH","P3 - MONITOR"))))</f>
        <v/>
      </c>
      <c r="AC140" s="16" t="n">
        <v>2225.38025390625</v>
      </c>
      <c r="AD140" s="16" t="n">
        <v>2045.792067416016</v>
      </c>
      <c r="AE140" s="16">
        <f>IF(OR(AD140="",H140=""),"",H140*AD140)</f>
        <v/>
      </c>
    </row>
    <row r="141">
      <c r="A141" s="7" t="inlineStr">
        <is>
          <t>2022-12-31</t>
        </is>
      </c>
      <c r="B141" s="7" t="n">
        <v>1315</v>
      </c>
      <c r="C141" s="8" t="inlineStr">
        <is>
          <t>VietMode RP-07</t>
        </is>
      </c>
      <c r="D141" s="8" t="inlineStr">
        <is>
          <t>Outdoor</t>
        </is>
      </c>
      <c r="E141" s="7" t="inlineStr">
        <is>
          <t>Activewear</t>
        </is>
      </c>
      <c r="F141" s="7" t="inlineStr">
        <is>
          <t>XL</t>
        </is>
      </c>
      <c r="G141" s="7" t="inlineStr">
        <is>
          <t>purple</t>
        </is>
      </c>
      <c r="H141" s="9" t="n">
        <v>6</v>
      </c>
      <c r="I141" s="9" t="n">
        <v>1</v>
      </c>
      <c r="J141" s="10" t="n">
        <v>1</v>
      </c>
      <c r="K141" s="10">
        <f>IFERROR(J141/30,0)</f>
        <v/>
      </c>
      <c r="L141" s="9" t="n">
        <v>2</v>
      </c>
      <c r="M141" s="11" t="n">
        <v>0.9333</v>
      </c>
      <c r="N141" s="9" t="n">
        <v>1</v>
      </c>
      <c r="O141" s="9" t="n">
        <v>1</v>
      </c>
      <c r="P141" s="9" t="n">
        <v>0</v>
      </c>
      <c r="Q141" s="12" t="n">
        <v>0</v>
      </c>
      <c r="R141" s="12" t="n">
        <v>0</v>
      </c>
      <c r="S141" s="9">
        <f>H141+Q141-R141</f>
        <v/>
      </c>
      <c r="T141" s="12" t="n">
        <v>14</v>
      </c>
      <c r="U141" s="12" t="n">
        <v>7</v>
      </c>
      <c r="V141" s="12" t="n">
        <v>7</v>
      </c>
      <c r="W141" s="10">
        <f>K141*(T141+U141)</f>
        <v/>
      </c>
      <c r="X141" s="10">
        <f>K141*(T141+U141+V141)</f>
        <v/>
      </c>
      <c r="Y141" s="10">
        <f>IF(K141&gt;0,H141/K141,99999)</f>
        <v/>
      </c>
      <c r="Z141" s="8">
        <f>IF(AND(OR(L141&gt;=1,M141&lt;0.95),Y141&gt;120),"DATA CONFLICT - VERIFY",IF(OR(L141&gt;=1,M141&lt;0.95,Y141&lt;=14),"SERVICE / STOCKOUT REVIEW",IF(Y141&gt;120,"OVERSTOCK REVIEW",IF(S141&lt;=W141,"REPLENISHMENT REVIEW","NORMAL MONITORING"))))</f>
        <v/>
      </c>
      <c r="AA141" s="9">
        <f>IF(OR(Z141="DATA CONFLICT - VERIFY",Z141="SERVICE / STOCKOUT REVIEW"),0,IF(S141&lt;=W141,MAX(0,ROUNDUP(X141-S141,0)),0))</f>
        <v/>
      </c>
      <c r="AB141" s="8">
        <f>IF(Z141="DATA CONFLICT - VERIFY","P1 - DATA CONFLICT",IF(Z141="SERVICE / STOCKOUT REVIEW","P1 - SERVICE",IF(Z141="OVERSTOCK REVIEW","P2 - OVERSTOCK",IF(Z141="REPLENISHMENT REVIEW","P2 - REPLENISH","P3 - MONITOR"))))</f>
        <v/>
      </c>
      <c r="AC141" s="10" t="n">
        <v>4409.278125</v>
      </c>
      <c r="AD141" s="10" t="n">
        <v>2546.799045</v>
      </c>
      <c r="AE141" s="10">
        <f>IF(OR(AD141="",H141=""),"",H141*AD141)</f>
        <v/>
      </c>
    </row>
    <row r="142">
      <c r="A142" s="13" t="inlineStr">
        <is>
          <t>2022-12-31</t>
        </is>
      </c>
      <c r="B142" s="13" t="n">
        <v>1316</v>
      </c>
      <c r="C142" s="14" t="inlineStr">
        <is>
          <t>VietMode RP-08</t>
        </is>
      </c>
      <c r="D142" s="14" t="inlineStr">
        <is>
          <t>Outdoor</t>
        </is>
      </c>
      <c r="E142" s="13" t="inlineStr">
        <is>
          <t>Activewear</t>
        </is>
      </c>
      <c r="F142" s="13" t="inlineStr">
        <is>
          <t>S</t>
        </is>
      </c>
      <c r="G142" s="13" t="inlineStr">
        <is>
          <t>green</t>
        </is>
      </c>
      <c r="H142" s="15" t="n">
        <v>6</v>
      </c>
      <c r="I142" s="15" t="n">
        <v>1</v>
      </c>
      <c r="J142" s="16" t="n">
        <v>1</v>
      </c>
      <c r="K142" s="16">
        <f>IFERROR(J142/30,0)</f>
        <v/>
      </c>
      <c r="L142" s="15" t="n">
        <v>1</v>
      </c>
      <c r="M142" s="17" t="n">
        <v>0.9667</v>
      </c>
      <c r="N142" s="15" t="n">
        <v>1</v>
      </c>
      <c r="O142" s="15" t="n">
        <v>1</v>
      </c>
      <c r="P142" s="15" t="n">
        <v>0</v>
      </c>
      <c r="Q142" s="12" t="n">
        <v>0</v>
      </c>
      <c r="R142" s="12" t="n">
        <v>0</v>
      </c>
      <c r="S142" s="15">
        <f>H142+Q142-R142</f>
        <v/>
      </c>
      <c r="T142" s="12" t="n">
        <v>14</v>
      </c>
      <c r="U142" s="12" t="n">
        <v>7</v>
      </c>
      <c r="V142" s="12" t="n">
        <v>7</v>
      </c>
      <c r="W142" s="16">
        <f>K142*(T142+U142)</f>
        <v/>
      </c>
      <c r="X142" s="16">
        <f>K142*(T142+U142+V142)</f>
        <v/>
      </c>
      <c r="Y142" s="16">
        <f>IF(K142&gt;0,H142/K142,99999)</f>
        <v/>
      </c>
      <c r="Z142" s="14">
        <f>IF(AND(OR(L142&gt;=1,M142&lt;0.95),Y142&gt;120),"DATA CONFLICT - VERIFY",IF(OR(L142&gt;=1,M142&lt;0.95,Y142&lt;=14),"SERVICE / STOCKOUT REVIEW",IF(Y142&gt;120,"OVERSTOCK REVIEW",IF(S142&lt;=W142,"REPLENISHMENT REVIEW","NORMAL MONITORING"))))</f>
        <v/>
      </c>
      <c r="AA142" s="15">
        <f>IF(OR(Z142="DATA CONFLICT - VERIFY",Z142="SERVICE / STOCKOUT REVIEW"),0,IF(S142&lt;=W142,MAX(0,ROUNDUP(X142-S142,0)),0))</f>
        <v/>
      </c>
      <c r="AB142" s="14">
        <f>IF(Z142="DATA CONFLICT - VERIFY","P1 - DATA CONFLICT",IF(Z142="SERVICE / STOCKOUT REVIEW","P1 - SERVICE",IF(Z142="OVERSTOCK REVIEW","P2 - OVERSTOCK",IF(Z142="REPLENISHMENT REVIEW","P2 - REPLENISH","P3 - MONITOR"))))</f>
        <v/>
      </c>
      <c r="AC142" s="16" t="n">
        <v>4409.278125</v>
      </c>
      <c r="AD142" s="16" t="n">
        <v>4104.156078749999</v>
      </c>
      <c r="AE142" s="16">
        <f>IF(OR(AD142="",H142=""),"",H142*AD142)</f>
        <v/>
      </c>
    </row>
    <row r="143">
      <c r="A143" s="7" t="inlineStr">
        <is>
          <t>2022-12-31</t>
        </is>
      </c>
      <c r="B143" s="7" t="n">
        <v>1349</v>
      </c>
      <c r="C143" s="8" t="inlineStr">
        <is>
          <t>VietMode RP-41</t>
        </is>
      </c>
      <c r="D143" s="8" t="inlineStr">
        <is>
          <t>Outdoor</t>
        </is>
      </c>
      <c r="E143" s="7" t="inlineStr">
        <is>
          <t>Activewear</t>
        </is>
      </c>
      <c r="F143" s="7" t="inlineStr">
        <is>
          <t>M</t>
        </is>
      </c>
      <c r="G143" s="7" t="inlineStr">
        <is>
          <t>yellow</t>
        </is>
      </c>
      <c r="H143" s="9" t="n">
        <v>68</v>
      </c>
      <c r="I143" s="9" t="n">
        <v>2</v>
      </c>
      <c r="J143" s="10" t="n">
        <v>3.666666666666667</v>
      </c>
      <c r="K143" s="10">
        <f>IFERROR(J143/30,0)</f>
        <v/>
      </c>
      <c r="L143" s="9" t="n">
        <v>1</v>
      </c>
      <c r="M143" s="11" t="n">
        <v>0.9667</v>
      </c>
      <c r="N143" s="9" t="n">
        <v>1</v>
      </c>
      <c r="O143" s="9" t="n">
        <v>1</v>
      </c>
      <c r="P143" s="9" t="n">
        <v>0</v>
      </c>
      <c r="Q143" s="12" t="n">
        <v>0</v>
      </c>
      <c r="R143" s="12" t="n">
        <v>0</v>
      </c>
      <c r="S143" s="9">
        <f>H143+Q143-R143</f>
        <v/>
      </c>
      <c r="T143" s="12" t="n">
        <v>14</v>
      </c>
      <c r="U143" s="12" t="n">
        <v>7</v>
      </c>
      <c r="V143" s="12" t="n">
        <v>7</v>
      </c>
      <c r="W143" s="10">
        <f>K143*(T143+U143)</f>
        <v/>
      </c>
      <c r="X143" s="10">
        <f>K143*(T143+U143+V143)</f>
        <v/>
      </c>
      <c r="Y143" s="10">
        <f>IF(K143&gt;0,H143/K143,99999)</f>
        <v/>
      </c>
      <c r="Z143" s="8">
        <f>IF(AND(OR(L143&gt;=1,M143&lt;0.95),Y143&gt;120),"DATA CONFLICT - VERIFY",IF(OR(L143&gt;=1,M143&lt;0.95,Y143&lt;=14),"SERVICE / STOCKOUT REVIEW",IF(Y143&gt;120,"OVERSTOCK REVIEW",IF(S143&lt;=W143,"REPLENISHMENT REVIEW","NORMAL MONITORING"))))</f>
        <v/>
      </c>
      <c r="AA143" s="9">
        <f>IF(OR(Z143="DATA CONFLICT - VERIFY",Z143="SERVICE / STOCKOUT REVIEW"),0,IF(S143&lt;=W143,MAX(0,ROUNDUP(X143-S143,0)),0))</f>
        <v/>
      </c>
      <c r="AB143" s="8">
        <f>IF(Z143="DATA CONFLICT - VERIFY","P1 - DATA CONFLICT",IF(Z143="SERVICE / STOCKOUT REVIEW","P1 - SERVICE",IF(Z143="OVERSTOCK REVIEW","P2 - OVERSTOCK",IF(Z143="REPLENISHMENT REVIEW","P2 - REPLENISH","P3 - MONITOR"))))</f>
        <v/>
      </c>
      <c r="AC143" s="10" t="n">
        <v>4740.946657458563</v>
      </c>
      <c r="AD143" s="10" t="n">
        <v>4172.507153229281</v>
      </c>
      <c r="AE143" s="10">
        <f>IF(OR(AD143="",H143=""),"",H143*AD143)</f>
        <v/>
      </c>
    </row>
    <row r="144">
      <c r="A144" s="13" t="inlineStr">
        <is>
          <t>2022-12-31</t>
        </is>
      </c>
      <c r="B144" s="13" t="n">
        <v>1350</v>
      </c>
      <c r="C144" s="14" t="inlineStr">
        <is>
          <t>VietMode RP-42</t>
        </is>
      </c>
      <c r="D144" s="14" t="inlineStr">
        <is>
          <t>Outdoor</t>
        </is>
      </c>
      <c r="E144" s="13" t="inlineStr">
        <is>
          <t>Activewear</t>
        </is>
      </c>
      <c r="F144" s="13" t="inlineStr">
        <is>
          <t>L</t>
        </is>
      </c>
      <c r="G144" s="13" t="inlineStr">
        <is>
          <t>red</t>
        </is>
      </c>
      <c r="H144" s="15" t="n">
        <v>67</v>
      </c>
      <c r="I144" s="15" t="n">
        <v>2</v>
      </c>
      <c r="J144" s="16" t="n">
        <v>3.666666666666667</v>
      </c>
      <c r="K144" s="16">
        <f>IFERROR(J144/30,0)</f>
        <v/>
      </c>
      <c r="L144" s="15" t="n">
        <v>0</v>
      </c>
      <c r="M144" s="17" t="n">
        <v>1</v>
      </c>
      <c r="N144" s="15" t="n">
        <v>0</v>
      </c>
      <c r="O144" s="15" t="n">
        <v>1</v>
      </c>
      <c r="P144" s="15" t="n">
        <v>0</v>
      </c>
      <c r="Q144" s="12" t="n">
        <v>0</v>
      </c>
      <c r="R144" s="12" t="n">
        <v>0</v>
      </c>
      <c r="S144" s="15">
        <f>H144+Q144-R144</f>
        <v/>
      </c>
      <c r="T144" s="12" t="n">
        <v>14</v>
      </c>
      <c r="U144" s="12" t="n">
        <v>7</v>
      </c>
      <c r="V144" s="12" t="n">
        <v>7</v>
      </c>
      <c r="W144" s="16">
        <f>K144*(T144+U144)</f>
        <v/>
      </c>
      <c r="X144" s="16">
        <f>K144*(T144+U144+V144)</f>
        <v/>
      </c>
      <c r="Y144" s="16">
        <f>IF(K144&gt;0,H144/K144,99999)</f>
        <v/>
      </c>
      <c r="Z144" s="14">
        <f>IF(AND(OR(L144&gt;=1,M144&lt;0.95),Y144&gt;120),"DATA CONFLICT - VERIFY",IF(OR(L144&gt;=1,M144&lt;0.95,Y144&lt;=14),"SERVICE / STOCKOUT REVIEW",IF(Y144&gt;120,"OVERSTOCK REVIEW",IF(S144&lt;=W144,"REPLENISHMENT REVIEW","NORMAL MONITORING"))))</f>
        <v/>
      </c>
      <c r="AA144" s="15">
        <f>IF(OR(Z144="DATA CONFLICT - VERIFY",Z144="SERVICE / STOCKOUT REVIEW"),0,IF(S144&lt;=W144,MAX(0,ROUNDUP(X144-S144,0)),0))</f>
        <v/>
      </c>
      <c r="AB144" s="14">
        <f>IF(Z144="DATA CONFLICT - VERIFY","P1 - DATA CONFLICT",IF(Z144="SERVICE / STOCKOUT REVIEW","P1 - SERVICE",IF(Z144="OVERSTOCK REVIEW","P2 - OVERSTOCK",IF(Z144="REPLENISHMENT REVIEW","P2 - REPLENISH","P3 - MONITOR"))))</f>
        <v/>
      </c>
      <c r="AC144" s="16" t="n">
        <v>4740.946657458563</v>
      </c>
      <c r="AD144" s="16" t="n">
        <v>4503.899324585635</v>
      </c>
      <c r="AE144" s="16">
        <f>IF(OR(AD144="",H144=""),"",H144*AD144)</f>
        <v/>
      </c>
    </row>
    <row r="145">
      <c r="A145" s="7" t="inlineStr">
        <is>
          <t>2022-12-31</t>
        </is>
      </c>
      <c r="B145" s="7" t="n">
        <v>1357</v>
      </c>
      <c r="C145" s="8" t="inlineStr">
        <is>
          <t>VietMode RP-49</t>
        </is>
      </c>
      <c r="D145" s="8" t="inlineStr">
        <is>
          <t>Outdoor</t>
        </is>
      </c>
      <c r="E145" s="7" t="inlineStr">
        <is>
          <t>Activewear</t>
        </is>
      </c>
      <c r="F145" s="7" t="inlineStr">
        <is>
          <t>M</t>
        </is>
      </c>
      <c r="G145" s="7" t="inlineStr">
        <is>
          <t>silver</t>
        </is>
      </c>
      <c r="H145" s="9" t="n">
        <v>13</v>
      </c>
      <c r="I145" s="9" t="n">
        <v>4</v>
      </c>
      <c r="J145" s="10" t="n">
        <v>5.333333333333333</v>
      </c>
      <c r="K145" s="10">
        <f>IFERROR(J145/30,0)</f>
        <v/>
      </c>
      <c r="L145" s="9" t="n">
        <v>0</v>
      </c>
      <c r="M145" s="11" t="n">
        <v>1</v>
      </c>
      <c r="N145" s="9" t="n">
        <v>0</v>
      </c>
      <c r="O145" s="9" t="n">
        <v>1</v>
      </c>
      <c r="P145" s="9" t="n">
        <v>0</v>
      </c>
      <c r="Q145" s="12" t="n">
        <v>0</v>
      </c>
      <c r="R145" s="12" t="n">
        <v>0</v>
      </c>
      <c r="S145" s="9">
        <f>H145+Q145-R145</f>
        <v/>
      </c>
      <c r="T145" s="12" t="n">
        <v>14</v>
      </c>
      <c r="U145" s="12" t="n">
        <v>7</v>
      </c>
      <c r="V145" s="12" t="n">
        <v>7</v>
      </c>
      <c r="W145" s="10">
        <f>K145*(T145+U145)</f>
        <v/>
      </c>
      <c r="X145" s="10">
        <f>K145*(T145+U145+V145)</f>
        <v/>
      </c>
      <c r="Y145" s="10">
        <f>IF(K145&gt;0,H145/K145,99999)</f>
        <v/>
      </c>
      <c r="Z145" s="8">
        <f>IF(AND(OR(L145&gt;=1,M145&lt;0.95),Y145&gt;120),"DATA CONFLICT - VERIFY",IF(OR(L145&gt;=1,M145&lt;0.95,Y145&lt;=14),"SERVICE / STOCKOUT REVIEW",IF(Y145&gt;120,"OVERSTOCK REVIEW",IF(S145&lt;=W145,"REPLENISHMENT REVIEW","NORMAL MONITORING"))))</f>
        <v/>
      </c>
      <c r="AA145" s="9">
        <f>IF(OR(Z145="DATA CONFLICT - VERIFY",Z145="SERVICE / STOCKOUT REVIEW"),0,IF(S145&lt;=W145,MAX(0,ROUNDUP(X145-S145,0)),0))</f>
        <v/>
      </c>
      <c r="AB145" s="8">
        <f>IF(Z145="DATA CONFLICT - VERIFY","P1 - DATA CONFLICT",IF(Z145="SERVICE / STOCKOUT REVIEW","P1 - SERVICE",IF(Z145="OVERSTOCK REVIEW","P2 - OVERSTOCK",IF(Z145="REPLENISHMENT REVIEW","P2 - REPLENISH","P3 - MONITOR"))))</f>
        <v/>
      </c>
      <c r="AC145" s="10" t="n">
        <v>6070.517727272727</v>
      </c>
      <c r="AD145" s="10" t="n">
        <v>3428.628412363636</v>
      </c>
      <c r="AE145" s="10">
        <f>IF(OR(AD145="",H145=""),"",H145*AD145)</f>
        <v/>
      </c>
    </row>
    <row r="146">
      <c r="A146" s="13" t="inlineStr">
        <is>
          <t>2022-12-31</t>
        </is>
      </c>
      <c r="B146" s="13" t="n">
        <v>1358</v>
      </c>
      <c r="C146" s="14" t="inlineStr">
        <is>
          <t>VietMode RP-50</t>
        </is>
      </c>
      <c r="D146" s="14" t="inlineStr">
        <is>
          <t>Outdoor</t>
        </is>
      </c>
      <c r="E146" s="13" t="inlineStr">
        <is>
          <t>Activewear</t>
        </is>
      </c>
      <c r="F146" s="13" t="inlineStr">
        <is>
          <t>L</t>
        </is>
      </c>
      <c r="G146" s="13" t="inlineStr">
        <is>
          <t>pink</t>
        </is>
      </c>
      <c r="H146" s="15" t="n">
        <v>13</v>
      </c>
      <c r="I146" s="15" t="n">
        <v>4</v>
      </c>
      <c r="J146" s="16" t="n">
        <v>5.333333333333333</v>
      </c>
      <c r="K146" s="16">
        <f>IFERROR(J146/30,0)</f>
        <v/>
      </c>
      <c r="L146" s="15" t="n">
        <v>2</v>
      </c>
      <c r="M146" s="17" t="n">
        <v>0.9333</v>
      </c>
      <c r="N146" s="15" t="n">
        <v>1</v>
      </c>
      <c r="O146" s="15" t="n">
        <v>1</v>
      </c>
      <c r="P146" s="15" t="n">
        <v>0</v>
      </c>
      <c r="Q146" s="12" t="n">
        <v>0</v>
      </c>
      <c r="R146" s="12" t="n">
        <v>0</v>
      </c>
      <c r="S146" s="15">
        <f>H146+Q146-R146</f>
        <v/>
      </c>
      <c r="T146" s="12" t="n">
        <v>14</v>
      </c>
      <c r="U146" s="12" t="n">
        <v>7</v>
      </c>
      <c r="V146" s="12" t="n">
        <v>7</v>
      </c>
      <c r="W146" s="16">
        <f>K146*(T146+U146)</f>
        <v/>
      </c>
      <c r="X146" s="16">
        <f>K146*(T146+U146+V146)</f>
        <v/>
      </c>
      <c r="Y146" s="16">
        <f>IF(K146&gt;0,H146/K146,99999)</f>
        <v/>
      </c>
      <c r="Z146" s="14">
        <f>IF(AND(OR(L146&gt;=1,M146&lt;0.95),Y146&gt;120),"DATA CONFLICT - VERIFY",IF(OR(L146&gt;=1,M146&lt;0.95,Y146&lt;=14),"SERVICE / STOCKOUT REVIEW",IF(Y146&gt;120,"OVERSTOCK REVIEW",IF(S146&lt;=W146,"REPLENISHMENT REVIEW","NORMAL MONITORING"))))</f>
        <v/>
      </c>
      <c r="AA146" s="15">
        <f>IF(OR(Z146="DATA CONFLICT - VERIFY",Z146="SERVICE / STOCKOUT REVIEW"),0,IF(S146&lt;=W146,MAX(0,ROUNDUP(X146-S146,0)),0))</f>
        <v/>
      </c>
      <c r="AB146" s="14">
        <f>IF(Z146="DATA CONFLICT - VERIFY","P1 - DATA CONFLICT",IF(Z146="SERVICE / STOCKOUT REVIEW","P1 - SERVICE",IF(Z146="OVERSTOCK REVIEW","P2 - OVERSTOCK",IF(Z146="REPLENISHMENT REVIEW","P2 - REPLENISH","P3 - MONITOR"))))</f>
        <v/>
      </c>
      <c r="AC146" s="16" t="n">
        <v>6070.517727272727</v>
      </c>
      <c r="AD146" s="16" t="n">
        <v>5023.353419318182</v>
      </c>
      <c r="AE146" s="16">
        <f>IF(OR(AD146="",H146=""),"",H146*AD146)</f>
        <v/>
      </c>
    </row>
    <row r="147">
      <c r="A147" s="7" t="inlineStr">
        <is>
          <t>2022-12-31</t>
        </is>
      </c>
      <c r="B147" s="7" t="n">
        <v>1375</v>
      </c>
      <c r="C147" s="8" t="inlineStr">
        <is>
          <t>VietMode RP-67</t>
        </is>
      </c>
      <c r="D147" s="8" t="inlineStr">
        <is>
          <t>Outdoor</t>
        </is>
      </c>
      <c r="E147" s="7" t="inlineStr">
        <is>
          <t>Activewear</t>
        </is>
      </c>
      <c r="F147" s="7" t="inlineStr">
        <is>
          <t>XL</t>
        </is>
      </c>
      <c r="G147" s="7" t="inlineStr">
        <is>
          <t>purple</t>
        </is>
      </c>
      <c r="H147" s="9" t="n">
        <v>21</v>
      </c>
      <c r="I147" s="9" t="n">
        <v>8</v>
      </c>
      <c r="J147" s="10" t="n">
        <v>5.666666666666667</v>
      </c>
      <c r="K147" s="10">
        <f>IFERROR(J147/30,0)</f>
        <v/>
      </c>
      <c r="L147" s="9" t="n">
        <v>1</v>
      </c>
      <c r="M147" s="11" t="n">
        <v>0.9667</v>
      </c>
      <c r="N147" s="9" t="n">
        <v>1</v>
      </c>
      <c r="O147" s="9" t="n">
        <v>0</v>
      </c>
      <c r="P147" s="9" t="n">
        <v>0</v>
      </c>
      <c r="Q147" s="12" t="n">
        <v>0</v>
      </c>
      <c r="R147" s="12" t="n">
        <v>0</v>
      </c>
      <c r="S147" s="9">
        <f>H147+Q147-R147</f>
        <v/>
      </c>
      <c r="T147" s="12" t="n">
        <v>14</v>
      </c>
      <c r="U147" s="12" t="n">
        <v>7</v>
      </c>
      <c r="V147" s="12" t="n">
        <v>7</v>
      </c>
      <c r="W147" s="10">
        <f>K147*(T147+U147)</f>
        <v/>
      </c>
      <c r="X147" s="10">
        <f>K147*(T147+U147+V147)</f>
        <v/>
      </c>
      <c r="Y147" s="10">
        <f>IF(K147&gt;0,H147/K147,99999)</f>
        <v/>
      </c>
      <c r="Z147" s="8">
        <f>IF(AND(OR(L147&gt;=1,M147&lt;0.95),Y147&gt;120),"DATA CONFLICT - VERIFY",IF(OR(L147&gt;=1,M147&lt;0.95,Y147&lt;=14),"SERVICE / STOCKOUT REVIEW",IF(Y147&gt;120,"OVERSTOCK REVIEW",IF(S147&lt;=W147,"REPLENISHMENT REVIEW","NORMAL MONITORING"))))</f>
        <v/>
      </c>
      <c r="AA147" s="9">
        <f>IF(OR(Z147="DATA CONFLICT - VERIFY",Z147="SERVICE / STOCKOUT REVIEW"),0,IF(S147&lt;=W147,MAX(0,ROUNDUP(X147-S147,0)),0))</f>
        <v/>
      </c>
      <c r="AB147" s="8">
        <f>IF(Z147="DATA CONFLICT - VERIFY","P1 - DATA CONFLICT",IF(Z147="SERVICE / STOCKOUT REVIEW","P1 - SERVICE",IF(Z147="OVERSTOCK REVIEW","P2 - OVERSTOCK",IF(Z147="REPLENISHMENT REVIEW","P2 - REPLENISH","P3 - MONITOR"))))</f>
        <v/>
      </c>
      <c r="AC147" s="10" t="n">
        <v>5807.167752808989</v>
      </c>
      <c r="AD147" s="10" t="n">
        <v>5516.809365168539</v>
      </c>
      <c r="AE147" s="10">
        <f>IF(OR(AD147="",H147=""),"",H147*AD147)</f>
        <v/>
      </c>
    </row>
    <row r="148">
      <c r="A148" s="13" t="inlineStr">
        <is>
          <t>2022-12-31</t>
        </is>
      </c>
      <c r="B148" s="13" t="n">
        <v>1376</v>
      </c>
      <c r="C148" s="14" t="inlineStr">
        <is>
          <t>VietMode RP-68</t>
        </is>
      </c>
      <c r="D148" s="14" t="inlineStr">
        <is>
          <t>Outdoor</t>
        </is>
      </c>
      <c r="E148" s="13" t="inlineStr">
        <is>
          <t>Activewear</t>
        </is>
      </c>
      <c r="F148" s="13" t="inlineStr">
        <is>
          <t>S</t>
        </is>
      </c>
      <c r="G148" s="13" t="inlineStr">
        <is>
          <t>green</t>
        </is>
      </c>
      <c r="H148" s="15" t="n">
        <v>15</v>
      </c>
      <c r="I148" s="15" t="n">
        <v>8</v>
      </c>
      <c r="J148" s="16" t="n">
        <v>5.666666666666667</v>
      </c>
      <c r="K148" s="16">
        <f>IFERROR(J148/30,0)</f>
        <v/>
      </c>
      <c r="L148" s="15" t="n">
        <v>0</v>
      </c>
      <c r="M148" s="17" t="n">
        <v>1</v>
      </c>
      <c r="N148" s="15" t="n">
        <v>0</v>
      </c>
      <c r="O148" s="15" t="n">
        <v>0</v>
      </c>
      <c r="P148" s="15" t="n">
        <v>0</v>
      </c>
      <c r="Q148" s="12" t="n">
        <v>0</v>
      </c>
      <c r="R148" s="12" t="n">
        <v>0</v>
      </c>
      <c r="S148" s="15">
        <f>H148+Q148-R148</f>
        <v/>
      </c>
      <c r="T148" s="12" t="n">
        <v>14</v>
      </c>
      <c r="U148" s="12" t="n">
        <v>7</v>
      </c>
      <c r="V148" s="12" t="n">
        <v>7</v>
      </c>
      <c r="W148" s="16">
        <f>K148*(T148+U148)</f>
        <v/>
      </c>
      <c r="X148" s="16">
        <f>K148*(T148+U148+V148)</f>
        <v/>
      </c>
      <c r="Y148" s="16">
        <f>IF(K148&gt;0,H148/K148,99999)</f>
        <v/>
      </c>
      <c r="Z148" s="14">
        <f>IF(AND(OR(L148&gt;=1,M148&lt;0.95),Y148&gt;120),"DATA CONFLICT - VERIFY",IF(OR(L148&gt;=1,M148&lt;0.95,Y148&lt;=14),"SERVICE / STOCKOUT REVIEW",IF(Y148&gt;120,"OVERSTOCK REVIEW",IF(S148&lt;=W148,"REPLENISHMENT REVIEW","NORMAL MONITORING"))))</f>
        <v/>
      </c>
      <c r="AA148" s="15">
        <f>IF(OR(Z148="DATA CONFLICT - VERIFY",Z148="SERVICE / STOCKOUT REVIEW"),0,IF(S148&lt;=W148,MAX(0,ROUNDUP(X148-S148,0)),0))</f>
        <v/>
      </c>
      <c r="AB148" s="14">
        <f>IF(Z148="DATA CONFLICT - VERIFY","P1 - DATA CONFLICT",IF(Z148="SERVICE / STOCKOUT REVIEW","P1 - SERVICE",IF(Z148="OVERSTOCK REVIEW","P2 - OVERSTOCK",IF(Z148="REPLENISHMENT REVIEW","P2 - REPLENISH","P3 - MONITOR"))))</f>
        <v/>
      </c>
      <c r="AC148" s="16" t="n">
        <v>5807.167752808989</v>
      </c>
      <c r="AD148" s="16" t="n">
        <v>3354.220094022472</v>
      </c>
      <c r="AE148" s="16">
        <f>IF(OR(AD148="",H148=""),"",H148*AD148)</f>
        <v/>
      </c>
    </row>
    <row r="149">
      <c r="A149" s="7" t="inlineStr">
        <is>
          <t>2022-12-31</t>
        </is>
      </c>
      <c r="B149" s="7" t="n">
        <v>1391</v>
      </c>
      <c r="C149" s="8" t="inlineStr">
        <is>
          <t>VietMode RP-83</t>
        </is>
      </c>
      <c r="D149" s="8" t="inlineStr">
        <is>
          <t>Outdoor</t>
        </is>
      </c>
      <c r="E149" s="7" t="inlineStr">
        <is>
          <t>Activewear</t>
        </is>
      </c>
      <c r="F149" s="7" t="inlineStr">
        <is>
          <t>XL</t>
        </is>
      </c>
      <c r="G149" s="7" t="inlineStr">
        <is>
          <t>black</t>
        </is>
      </c>
      <c r="H149" s="9" t="n">
        <v>129</v>
      </c>
      <c r="I149" s="9" t="n">
        <v>3</v>
      </c>
      <c r="J149" s="10" t="n">
        <v>2.666666666666667</v>
      </c>
      <c r="K149" s="10">
        <f>IFERROR(J149/30,0)</f>
        <v/>
      </c>
      <c r="L149" s="9" t="n">
        <v>2</v>
      </c>
      <c r="M149" s="11" t="n">
        <v>0.9333</v>
      </c>
      <c r="N149" s="9" t="n">
        <v>1</v>
      </c>
      <c r="O149" s="9" t="n">
        <v>1</v>
      </c>
      <c r="P149" s="9" t="n">
        <v>0</v>
      </c>
      <c r="Q149" s="12" t="n">
        <v>0</v>
      </c>
      <c r="R149" s="12" t="n">
        <v>0</v>
      </c>
      <c r="S149" s="9">
        <f>H149+Q149-R149</f>
        <v/>
      </c>
      <c r="T149" s="12" t="n">
        <v>14</v>
      </c>
      <c r="U149" s="12" t="n">
        <v>7</v>
      </c>
      <c r="V149" s="12" t="n">
        <v>7</v>
      </c>
      <c r="W149" s="10">
        <f>K149*(T149+U149)</f>
        <v/>
      </c>
      <c r="X149" s="10">
        <f>K149*(T149+U149+V149)</f>
        <v/>
      </c>
      <c r="Y149" s="10">
        <f>IF(K149&gt;0,H149/K149,99999)</f>
        <v/>
      </c>
      <c r="Z149" s="8">
        <f>IF(AND(OR(L149&gt;=1,M149&lt;0.95),Y149&gt;120),"DATA CONFLICT - VERIFY",IF(OR(L149&gt;=1,M149&lt;0.95,Y149&lt;=14),"SERVICE / STOCKOUT REVIEW",IF(Y149&gt;120,"OVERSTOCK REVIEW",IF(S149&lt;=W149,"REPLENISHMENT REVIEW","NORMAL MONITORING"))))</f>
        <v/>
      </c>
      <c r="AA149" s="9">
        <f>IF(OR(Z149="DATA CONFLICT - VERIFY",Z149="SERVICE / STOCKOUT REVIEW"),0,IF(S149&lt;=W149,MAX(0,ROUNDUP(X149-S149,0)),0))</f>
        <v/>
      </c>
      <c r="AB149" s="8">
        <f>IF(Z149="DATA CONFLICT - VERIFY","P1 - DATA CONFLICT",IF(Z149="SERVICE / STOCKOUT REVIEW","P1 - SERVICE",IF(Z149="OVERSTOCK REVIEW","P2 - OVERSTOCK",IF(Z149="REPLENISHMENT REVIEW","P2 - REPLENISH","P3 - MONITOR"))))</f>
        <v/>
      </c>
      <c r="AC149" s="10" t="n">
        <v>2068.320276073619</v>
      </c>
      <c r="AD149" s="10" t="n">
        <v>1416.799389110429</v>
      </c>
      <c r="AE149" s="10">
        <f>IF(OR(AD149="",H149=""),"",H149*AD149)</f>
        <v/>
      </c>
    </row>
    <row r="150">
      <c r="A150" s="13" t="inlineStr">
        <is>
          <t>2022-12-31</t>
        </is>
      </c>
      <c r="B150" s="13" t="n">
        <v>1392</v>
      </c>
      <c r="C150" s="14" t="inlineStr">
        <is>
          <t>VietMode RP-84</t>
        </is>
      </c>
      <c r="D150" s="14" t="inlineStr">
        <is>
          <t>Outdoor</t>
        </is>
      </c>
      <c r="E150" s="13" t="inlineStr">
        <is>
          <t>Activewear</t>
        </is>
      </c>
      <c r="F150" s="13" t="inlineStr">
        <is>
          <t>S</t>
        </is>
      </c>
      <c r="G150" s="13" t="inlineStr">
        <is>
          <t>orange</t>
        </is>
      </c>
      <c r="H150" s="15" t="n">
        <v>140</v>
      </c>
      <c r="I150" s="15" t="n">
        <v>3</v>
      </c>
      <c r="J150" s="16" t="n">
        <v>2.666666666666667</v>
      </c>
      <c r="K150" s="16">
        <f>IFERROR(J150/30,0)</f>
        <v/>
      </c>
      <c r="L150" s="15" t="n">
        <v>1</v>
      </c>
      <c r="M150" s="17" t="n">
        <v>0.9667</v>
      </c>
      <c r="N150" s="15" t="n">
        <v>1</v>
      </c>
      <c r="O150" s="15" t="n">
        <v>1</v>
      </c>
      <c r="P150" s="15" t="n">
        <v>0</v>
      </c>
      <c r="Q150" s="12" t="n">
        <v>0</v>
      </c>
      <c r="R150" s="12" t="n">
        <v>0</v>
      </c>
      <c r="S150" s="15">
        <f>H150+Q150-R150</f>
        <v/>
      </c>
      <c r="T150" s="12" t="n">
        <v>14</v>
      </c>
      <c r="U150" s="12" t="n">
        <v>7</v>
      </c>
      <c r="V150" s="12" t="n">
        <v>7</v>
      </c>
      <c r="W150" s="16">
        <f>K150*(T150+U150)</f>
        <v/>
      </c>
      <c r="X150" s="16">
        <f>K150*(T150+U150+V150)</f>
        <v/>
      </c>
      <c r="Y150" s="16">
        <f>IF(K150&gt;0,H150/K150,99999)</f>
        <v/>
      </c>
      <c r="Z150" s="14">
        <f>IF(AND(OR(L150&gt;=1,M150&lt;0.95),Y150&gt;120),"DATA CONFLICT - VERIFY",IF(OR(L150&gt;=1,M150&lt;0.95,Y150&lt;=14),"SERVICE / STOCKOUT REVIEW",IF(Y150&gt;120,"OVERSTOCK REVIEW",IF(S150&lt;=W150,"REPLENISHMENT REVIEW","NORMAL MONITORING"))))</f>
        <v/>
      </c>
      <c r="AA150" s="15">
        <f>IF(OR(Z150="DATA CONFLICT - VERIFY",Z150="SERVICE / STOCKOUT REVIEW"),0,IF(S150&lt;=W150,MAX(0,ROUNDUP(X150-S150,0)),0))</f>
        <v/>
      </c>
      <c r="AB150" s="14">
        <f>IF(Z150="DATA CONFLICT - VERIFY","P1 - DATA CONFLICT",IF(Z150="SERVICE / STOCKOUT REVIEW","P1 - SERVICE",IF(Z150="OVERSTOCK REVIEW","P2 - OVERSTOCK",IF(Z150="REPLENISHMENT REVIEW","P2 - REPLENISH","P3 - MONITOR"))))</f>
        <v/>
      </c>
      <c r="AC150" s="16" t="n">
        <v>2068.320276073619</v>
      </c>
      <c r="AD150" s="16" t="n">
        <v>1296.423149042945</v>
      </c>
      <c r="AE150" s="16">
        <f>IF(OR(AD150="",H150=""),"",H150*AD150)</f>
        <v/>
      </c>
    </row>
    <row r="151">
      <c r="A151" s="7" t="inlineStr">
        <is>
          <t>2022-12-31</t>
        </is>
      </c>
      <c r="B151" s="7" t="n">
        <v>1415</v>
      </c>
      <c r="C151" s="8" t="inlineStr">
        <is>
          <t>VietMode RP-07</t>
        </is>
      </c>
      <c r="D151" s="8" t="inlineStr">
        <is>
          <t>Outdoor</t>
        </is>
      </c>
      <c r="E151" s="7" t="inlineStr">
        <is>
          <t>Activewear</t>
        </is>
      </c>
      <c r="F151" s="7" t="inlineStr">
        <is>
          <t>XL</t>
        </is>
      </c>
      <c r="G151" s="7" t="inlineStr">
        <is>
          <t>purple</t>
        </is>
      </c>
      <c r="H151" s="9" t="n">
        <v>3</v>
      </c>
      <c r="I151" s="9" t="n">
        <v>1</v>
      </c>
      <c r="J151" s="10" t="n">
        <v>1</v>
      </c>
      <c r="K151" s="10">
        <f>IFERROR(J151/30,0)</f>
        <v/>
      </c>
      <c r="L151" s="9" t="n">
        <v>0</v>
      </c>
      <c r="M151" s="11" t="n">
        <v>1</v>
      </c>
      <c r="N151" s="9" t="n">
        <v>0</v>
      </c>
      <c r="O151" s="9" t="n">
        <v>0</v>
      </c>
      <c r="P151" s="9" t="n">
        <v>0</v>
      </c>
      <c r="Q151" s="12" t="n">
        <v>0</v>
      </c>
      <c r="R151" s="12" t="n">
        <v>0</v>
      </c>
      <c r="S151" s="9">
        <f>H151+Q151-R151</f>
        <v/>
      </c>
      <c r="T151" s="12" t="n">
        <v>14</v>
      </c>
      <c r="U151" s="12" t="n">
        <v>7</v>
      </c>
      <c r="V151" s="12" t="n">
        <v>7</v>
      </c>
      <c r="W151" s="10">
        <f>K151*(T151+U151)</f>
        <v/>
      </c>
      <c r="X151" s="10">
        <f>K151*(T151+U151+V151)</f>
        <v/>
      </c>
      <c r="Y151" s="10">
        <f>IF(K151&gt;0,H151/K151,99999)</f>
        <v/>
      </c>
      <c r="Z151" s="8">
        <f>IF(AND(OR(L151&gt;=1,M151&lt;0.95),Y151&gt;120),"DATA CONFLICT - VERIFY",IF(OR(L151&gt;=1,M151&lt;0.95,Y151&lt;=14),"SERVICE / STOCKOUT REVIEW",IF(Y151&gt;120,"OVERSTOCK REVIEW",IF(S151&lt;=W151,"REPLENISHMENT REVIEW","NORMAL MONITORING"))))</f>
        <v/>
      </c>
      <c r="AA151" s="9">
        <f>IF(OR(Z151="DATA CONFLICT - VERIFY",Z151="SERVICE / STOCKOUT REVIEW"),0,IF(S151&lt;=W151,MAX(0,ROUNDUP(X151-S151,0)),0))</f>
        <v/>
      </c>
      <c r="AB151" s="8">
        <f>IF(Z151="DATA CONFLICT - VERIFY","P1 - DATA CONFLICT",IF(Z151="SERVICE / STOCKOUT REVIEW","P1 - SERVICE",IF(Z151="OVERSTOCK REVIEW","P2 - OVERSTOCK",IF(Z151="REPLENISHMENT REVIEW","P2 - REPLENISH","P3 - MONITOR"))))</f>
        <v/>
      </c>
      <c r="AC151" s="10" t="n">
        <v>5668.74</v>
      </c>
      <c r="AD151" s="10" t="n">
        <v>3382.537158</v>
      </c>
      <c r="AE151" s="10">
        <f>IF(OR(AD151="",H151=""),"",H151*AD151)</f>
        <v/>
      </c>
    </row>
    <row r="152">
      <c r="A152" s="13" t="inlineStr">
        <is>
          <t>2022-12-31</t>
        </is>
      </c>
      <c r="B152" s="13" t="n">
        <v>1416</v>
      </c>
      <c r="C152" s="14" t="inlineStr">
        <is>
          <t>VietMode RP-08</t>
        </is>
      </c>
      <c r="D152" s="14" t="inlineStr">
        <is>
          <t>Outdoor</t>
        </is>
      </c>
      <c r="E152" s="13" t="inlineStr">
        <is>
          <t>Activewear</t>
        </is>
      </c>
      <c r="F152" s="13" t="inlineStr">
        <is>
          <t>S</t>
        </is>
      </c>
      <c r="G152" s="13" t="inlineStr">
        <is>
          <t>green</t>
        </is>
      </c>
      <c r="H152" s="15" t="n">
        <v>4</v>
      </c>
      <c r="I152" s="15" t="n">
        <v>1</v>
      </c>
      <c r="J152" s="16" t="n">
        <v>1</v>
      </c>
      <c r="K152" s="16">
        <f>IFERROR(J152/30,0)</f>
        <v/>
      </c>
      <c r="L152" s="15" t="n">
        <v>0</v>
      </c>
      <c r="M152" s="17" t="n">
        <v>1</v>
      </c>
      <c r="N152" s="15" t="n">
        <v>0</v>
      </c>
      <c r="O152" s="15" t="n">
        <v>1</v>
      </c>
      <c r="P152" s="15" t="n">
        <v>0</v>
      </c>
      <c r="Q152" s="12" t="n">
        <v>0</v>
      </c>
      <c r="R152" s="12" t="n">
        <v>0</v>
      </c>
      <c r="S152" s="15">
        <f>H152+Q152-R152</f>
        <v/>
      </c>
      <c r="T152" s="12" t="n">
        <v>14</v>
      </c>
      <c r="U152" s="12" t="n">
        <v>7</v>
      </c>
      <c r="V152" s="12" t="n">
        <v>7</v>
      </c>
      <c r="W152" s="16">
        <f>K152*(T152+U152)</f>
        <v/>
      </c>
      <c r="X152" s="16">
        <f>K152*(T152+U152+V152)</f>
        <v/>
      </c>
      <c r="Y152" s="16">
        <f>IF(K152&gt;0,H152/K152,99999)</f>
        <v/>
      </c>
      <c r="Z152" s="14">
        <f>IF(AND(OR(L152&gt;=1,M152&lt;0.95),Y152&gt;120),"DATA CONFLICT - VERIFY",IF(OR(L152&gt;=1,M152&lt;0.95,Y152&lt;=14),"SERVICE / STOCKOUT REVIEW",IF(Y152&gt;120,"OVERSTOCK REVIEW",IF(S152&lt;=W152,"REPLENISHMENT REVIEW","NORMAL MONITORING"))))</f>
        <v/>
      </c>
      <c r="AA152" s="15">
        <f>IF(OR(Z152="DATA CONFLICT - VERIFY",Z152="SERVICE / STOCKOUT REVIEW"),0,IF(S152&lt;=W152,MAX(0,ROUNDUP(X152-S152,0)),0))</f>
        <v/>
      </c>
      <c r="AB152" s="14">
        <f>IF(Z152="DATA CONFLICT - VERIFY","P1 - DATA CONFLICT",IF(Z152="SERVICE / STOCKOUT REVIEW","P1 - SERVICE",IF(Z152="OVERSTOCK REVIEW","P2 - OVERSTOCK",IF(Z152="REPLENISHMENT REVIEW","P2 - REPLENISH","P3 - MONITOR"))))</f>
        <v/>
      </c>
      <c r="AC152" s="16" t="n">
        <v>5668.74</v>
      </c>
      <c r="AD152" s="16" t="n">
        <v>4769.677836</v>
      </c>
      <c r="AE152" s="16">
        <f>IF(OR(AD152="",H152=""),"",H152*AD152)</f>
        <v/>
      </c>
    </row>
    <row r="153">
      <c r="A153" s="7" t="inlineStr">
        <is>
          <t>2022-12-31</t>
        </is>
      </c>
      <c r="B153" s="7" t="n">
        <v>1433</v>
      </c>
      <c r="C153" s="8" t="inlineStr">
        <is>
          <t>VietMode RP-25</t>
        </is>
      </c>
      <c r="D153" s="8" t="inlineStr">
        <is>
          <t>Outdoor</t>
        </is>
      </c>
      <c r="E153" s="7" t="inlineStr">
        <is>
          <t>Activewear</t>
        </is>
      </c>
      <c r="F153" s="7" t="inlineStr">
        <is>
          <t>M</t>
        </is>
      </c>
      <c r="G153" s="7" t="inlineStr">
        <is>
          <t>blue</t>
        </is>
      </c>
      <c r="H153" s="9" t="n">
        <v>125</v>
      </c>
      <c r="I153" s="9" t="n">
        <v>1</v>
      </c>
      <c r="J153" s="10" t="n">
        <v>2</v>
      </c>
      <c r="K153" s="10">
        <f>IFERROR(J153/30,0)</f>
        <v/>
      </c>
      <c r="L153" s="9" t="n">
        <v>1</v>
      </c>
      <c r="M153" s="11" t="n">
        <v>0.9667</v>
      </c>
      <c r="N153" s="9" t="n">
        <v>1</v>
      </c>
      <c r="O153" s="9" t="n">
        <v>1</v>
      </c>
      <c r="P153" s="9" t="n">
        <v>0</v>
      </c>
      <c r="Q153" s="12" t="n">
        <v>0</v>
      </c>
      <c r="R153" s="12" t="n">
        <v>0</v>
      </c>
      <c r="S153" s="9">
        <f>H153+Q153-R153</f>
        <v/>
      </c>
      <c r="T153" s="12" t="n">
        <v>14</v>
      </c>
      <c r="U153" s="12" t="n">
        <v>7</v>
      </c>
      <c r="V153" s="12" t="n">
        <v>7</v>
      </c>
      <c r="W153" s="10">
        <f>K153*(T153+U153)</f>
        <v/>
      </c>
      <c r="X153" s="10">
        <f>K153*(T153+U153+V153)</f>
        <v/>
      </c>
      <c r="Y153" s="10">
        <f>IF(K153&gt;0,H153/K153,99999)</f>
        <v/>
      </c>
      <c r="Z153" s="8">
        <f>IF(AND(OR(L153&gt;=1,M153&lt;0.95),Y153&gt;120),"DATA CONFLICT - VERIFY",IF(OR(L153&gt;=1,M153&lt;0.95,Y153&lt;=14),"SERVICE / STOCKOUT REVIEW",IF(Y153&gt;120,"OVERSTOCK REVIEW",IF(S153&lt;=W153,"REPLENISHMENT REVIEW","NORMAL MONITORING"))))</f>
        <v/>
      </c>
      <c r="AA153" s="9">
        <f>IF(OR(Z153="DATA CONFLICT - VERIFY",Z153="SERVICE / STOCKOUT REVIEW"),0,IF(S153&lt;=W153,MAX(0,ROUNDUP(X153-S153,0)),0))</f>
        <v/>
      </c>
      <c r="AB153" s="8">
        <f>IF(Z153="DATA CONFLICT - VERIFY","P1 - DATA CONFLICT",IF(Z153="SERVICE / STOCKOUT REVIEW","P1 - SERVICE",IF(Z153="OVERSTOCK REVIEW","P2 - OVERSTOCK",IF(Z153="REPLENISHMENT REVIEW","P2 - REPLENISH","P3 - MONITOR"))))</f>
        <v/>
      </c>
      <c r="AC153" s="10" t="n">
        <v>4346.329468531469</v>
      </c>
      <c r="AD153" s="10" t="n">
        <v>4129.012995104895</v>
      </c>
      <c r="AE153" s="10">
        <f>IF(OR(AD153="",H153=""),"",H153*AD153)</f>
        <v/>
      </c>
    </row>
    <row r="154">
      <c r="A154" s="13" t="inlineStr">
        <is>
          <t>2022-12-31</t>
        </is>
      </c>
      <c r="B154" s="13" t="n">
        <v>1434</v>
      </c>
      <c r="C154" s="14" t="inlineStr">
        <is>
          <t>VietMode RP-26</t>
        </is>
      </c>
      <c r="D154" s="14" t="inlineStr">
        <is>
          <t>Outdoor</t>
        </is>
      </c>
      <c r="E154" s="13" t="inlineStr">
        <is>
          <t>Activewear</t>
        </is>
      </c>
      <c r="F154" s="13" t="inlineStr">
        <is>
          <t>L</t>
        </is>
      </c>
      <c r="G154" s="13" t="inlineStr">
        <is>
          <t>white</t>
        </is>
      </c>
      <c r="H154" s="15" t="n">
        <v>123</v>
      </c>
      <c r="I154" s="15" t="n">
        <v>1</v>
      </c>
      <c r="J154" s="16" t="n">
        <v>2</v>
      </c>
      <c r="K154" s="16">
        <f>IFERROR(J154/30,0)</f>
        <v/>
      </c>
      <c r="L154" s="15" t="n">
        <v>1</v>
      </c>
      <c r="M154" s="17" t="n">
        <v>0.9667</v>
      </c>
      <c r="N154" s="15" t="n">
        <v>1</v>
      </c>
      <c r="O154" s="15" t="n">
        <v>1</v>
      </c>
      <c r="P154" s="15" t="n">
        <v>0</v>
      </c>
      <c r="Q154" s="12" t="n">
        <v>0</v>
      </c>
      <c r="R154" s="12" t="n">
        <v>0</v>
      </c>
      <c r="S154" s="15">
        <f>H154+Q154-R154</f>
        <v/>
      </c>
      <c r="T154" s="12" t="n">
        <v>14</v>
      </c>
      <c r="U154" s="12" t="n">
        <v>7</v>
      </c>
      <c r="V154" s="12" t="n">
        <v>7</v>
      </c>
      <c r="W154" s="16">
        <f>K154*(T154+U154)</f>
        <v/>
      </c>
      <c r="X154" s="16">
        <f>K154*(T154+U154+V154)</f>
        <v/>
      </c>
      <c r="Y154" s="16">
        <f>IF(K154&gt;0,H154/K154,99999)</f>
        <v/>
      </c>
      <c r="Z154" s="14">
        <f>IF(AND(OR(L154&gt;=1,M154&lt;0.95),Y154&gt;120),"DATA CONFLICT - VERIFY",IF(OR(L154&gt;=1,M154&lt;0.95,Y154&lt;=14),"SERVICE / STOCKOUT REVIEW",IF(Y154&gt;120,"OVERSTOCK REVIEW",IF(S154&lt;=W154,"REPLENISHMENT REVIEW","NORMAL MONITORING"))))</f>
        <v/>
      </c>
      <c r="AA154" s="15">
        <f>IF(OR(Z154="DATA CONFLICT - VERIFY",Z154="SERVICE / STOCKOUT REVIEW"),0,IF(S154&lt;=W154,MAX(0,ROUNDUP(X154-S154,0)),0))</f>
        <v/>
      </c>
      <c r="AB154" s="14">
        <f>IF(Z154="DATA CONFLICT - VERIFY","P1 - DATA CONFLICT",IF(Z154="SERVICE / STOCKOUT REVIEW","P1 - SERVICE",IF(Z154="OVERSTOCK REVIEW","P2 - OVERSTOCK",IF(Z154="REPLENISHMENT REVIEW","P2 - REPLENISH","P3 - MONITOR"))))</f>
        <v/>
      </c>
      <c r="AC154" s="16" t="n">
        <v>4346.329468531469</v>
      </c>
      <c r="AD154" s="16" t="n">
        <v>2982.885914253146</v>
      </c>
      <c r="AE154" s="16">
        <f>IF(OR(AD154="",H154=""),"",H154*AD154)</f>
        <v/>
      </c>
    </row>
    <row r="155">
      <c r="A155" s="7" t="inlineStr">
        <is>
          <t>2022-12-31</t>
        </is>
      </c>
      <c r="B155" s="7" t="n">
        <v>1441</v>
      </c>
      <c r="C155" s="8" t="inlineStr">
        <is>
          <t>VietMode RP-33</t>
        </is>
      </c>
      <c r="D155" s="8" t="inlineStr">
        <is>
          <t>Outdoor</t>
        </is>
      </c>
      <c r="E155" s="7" t="inlineStr">
        <is>
          <t>Activewear</t>
        </is>
      </c>
      <c r="F155" s="7" t="inlineStr">
        <is>
          <t>M</t>
        </is>
      </c>
      <c r="G155" s="7" t="inlineStr">
        <is>
          <t>black</t>
        </is>
      </c>
      <c r="H155" s="9" t="n">
        <v>21</v>
      </c>
      <c r="I155" s="9" t="n">
        <v>6</v>
      </c>
      <c r="J155" s="10" t="n">
        <v>4</v>
      </c>
      <c r="K155" s="10">
        <f>IFERROR(J155/30,0)</f>
        <v/>
      </c>
      <c r="L155" s="9" t="n">
        <v>0</v>
      </c>
      <c r="M155" s="11" t="n">
        <v>1</v>
      </c>
      <c r="N155" s="9" t="n">
        <v>0</v>
      </c>
      <c r="O155" s="9" t="n">
        <v>1</v>
      </c>
      <c r="P155" s="9" t="n">
        <v>0</v>
      </c>
      <c r="Q155" s="12" t="n">
        <v>0</v>
      </c>
      <c r="R155" s="12" t="n">
        <v>0</v>
      </c>
      <c r="S155" s="9">
        <f>H155+Q155-R155</f>
        <v/>
      </c>
      <c r="T155" s="12" t="n">
        <v>14</v>
      </c>
      <c r="U155" s="12" t="n">
        <v>7</v>
      </c>
      <c r="V155" s="12" t="n">
        <v>7</v>
      </c>
      <c r="W155" s="10">
        <f>K155*(T155+U155)</f>
        <v/>
      </c>
      <c r="X155" s="10">
        <f>K155*(T155+U155+V155)</f>
        <v/>
      </c>
      <c r="Y155" s="10">
        <f>IF(K155&gt;0,H155/K155,99999)</f>
        <v/>
      </c>
      <c r="Z155" s="8">
        <f>IF(AND(OR(L155&gt;=1,M155&lt;0.95),Y155&gt;120),"DATA CONFLICT - VERIFY",IF(OR(L155&gt;=1,M155&lt;0.95,Y155&lt;=14),"SERVICE / STOCKOUT REVIEW",IF(Y155&gt;120,"OVERSTOCK REVIEW",IF(S155&lt;=W155,"REPLENISHMENT REVIEW","NORMAL MONITORING"))))</f>
        <v/>
      </c>
      <c r="AA155" s="9">
        <f>IF(OR(Z155="DATA CONFLICT - VERIFY",Z155="SERVICE / STOCKOUT REVIEW"),0,IF(S155&lt;=W155,MAX(0,ROUNDUP(X155-S155,0)),0))</f>
        <v/>
      </c>
      <c r="AB155" s="8">
        <f>IF(Z155="DATA CONFLICT - VERIFY","P1 - DATA CONFLICT",IF(Z155="SERVICE / STOCKOUT REVIEW","P1 - SERVICE",IF(Z155="OVERSTOCK REVIEW","P2 - OVERSTOCK",IF(Z155="REPLENISHMENT REVIEW","P2 - REPLENISH","P3 - MONITOR"))))</f>
        <v/>
      </c>
      <c r="AC155" s="10" t="n">
        <v>5598.43156996587</v>
      </c>
      <c r="AD155" s="10" t="n">
        <v>3174.870543327645</v>
      </c>
      <c r="AE155" s="10">
        <f>IF(OR(AD155="",H155=""),"",H155*AD155)</f>
        <v/>
      </c>
    </row>
    <row r="156">
      <c r="A156" s="13" t="inlineStr">
        <is>
          <t>2022-12-31</t>
        </is>
      </c>
      <c r="B156" s="13" t="n">
        <v>1442</v>
      </c>
      <c r="C156" s="14" t="inlineStr">
        <is>
          <t>VietMode RP-34</t>
        </is>
      </c>
      <c r="D156" s="14" t="inlineStr">
        <is>
          <t>Outdoor</t>
        </is>
      </c>
      <c r="E156" s="13" t="inlineStr">
        <is>
          <t>Activewear</t>
        </is>
      </c>
      <c r="F156" s="13" t="inlineStr">
        <is>
          <t>L</t>
        </is>
      </c>
      <c r="G156" s="13" t="inlineStr">
        <is>
          <t>orange</t>
        </is>
      </c>
      <c r="H156" s="15" t="n">
        <v>19</v>
      </c>
      <c r="I156" s="15" t="n">
        <v>6</v>
      </c>
      <c r="J156" s="16" t="n">
        <v>4</v>
      </c>
      <c r="K156" s="16">
        <f>IFERROR(J156/30,0)</f>
        <v/>
      </c>
      <c r="L156" s="15" t="n">
        <v>1</v>
      </c>
      <c r="M156" s="17" t="n">
        <v>0.9667</v>
      </c>
      <c r="N156" s="15" t="n">
        <v>1</v>
      </c>
      <c r="O156" s="15" t="n">
        <v>1</v>
      </c>
      <c r="P156" s="15" t="n">
        <v>0</v>
      </c>
      <c r="Q156" s="12" t="n">
        <v>0</v>
      </c>
      <c r="R156" s="12" t="n">
        <v>0</v>
      </c>
      <c r="S156" s="15">
        <f>H156+Q156-R156</f>
        <v/>
      </c>
      <c r="T156" s="12" t="n">
        <v>14</v>
      </c>
      <c r="U156" s="12" t="n">
        <v>7</v>
      </c>
      <c r="V156" s="12" t="n">
        <v>7</v>
      </c>
      <c r="W156" s="16">
        <f>K156*(T156+U156)</f>
        <v/>
      </c>
      <c r="X156" s="16">
        <f>K156*(T156+U156+V156)</f>
        <v/>
      </c>
      <c r="Y156" s="16">
        <f>IF(K156&gt;0,H156/K156,99999)</f>
        <v/>
      </c>
      <c r="Z156" s="14">
        <f>IF(AND(OR(L156&gt;=1,M156&lt;0.95),Y156&gt;120),"DATA CONFLICT - VERIFY",IF(OR(L156&gt;=1,M156&lt;0.95,Y156&lt;=14),"SERVICE / STOCKOUT REVIEW",IF(Y156&gt;120,"OVERSTOCK REVIEW",IF(S156&lt;=W156,"REPLENISHMENT REVIEW","NORMAL MONITORING"))))</f>
        <v/>
      </c>
      <c r="AA156" s="15">
        <f>IF(OR(Z156="DATA CONFLICT - VERIFY",Z156="SERVICE / STOCKOUT REVIEW"),0,IF(S156&lt;=W156,MAX(0,ROUNDUP(X156-S156,0)),0))</f>
        <v/>
      </c>
      <c r="AB156" s="14">
        <f>IF(Z156="DATA CONFLICT - VERIFY","P1 - DATA CONFLICT",IF(Z156="SERVICE / STOCKOUT REVIEW","P1 - SERVICE",IF(Z156="OVERSTOCK REVIEW","P2 - OVERSTOCK",IF(Z156="REPLENISHMENT REVIEW","P2 - REPLENISH","P3 - MONITOR"))))</f>
        <v/>
      </c>
      <c r="AC156" s="16" t="n">
        <v>5598.43156996587</v>
      </c>
      <c r="AD156" s="16" t="n">
        <v>3566.200910068259</v>
      </c>
      <c r="AE156" s="16">
        <f>IF(OR(AD156="",H156=""),"",H156*AD156)</f>
        <v/>
      </c>
    </row>
    <row r="157">
      <c r="A157" s="7" t="inlineStr">
        <is>
          <t>2022-12-31</t>
        </is>
      </c>
      <c r="B157" s="7" t="n">
        <v>1469</v>
      </c>
      <c r="C157" s="8" t="inlineStr">
        <is>
          <t>VietMode RP-61</t>
        </is>
      </c>
      <c r="D157" s="8" t="inlineStr">
        <is>
          <t>Outdoor</t>
        </is>
      </c>
      <c r="E157" s="7" t="inlineStr">
        <is>
          <t>Activewear</t>
        </is>
      </c>
      <c r="F157" s="7" t="inlineStr">
        <is>
          <t>M</t>
        </is>
      </c>
      <c r="G157" s="7" t="inlineStr">
        <is>
          <t>yellow</t>
        </is>
      </c>
      <c r="H157" s="9" t="n">
        <v>3</v>
      </c>
      <c r="I157" s="9" t="n">
        <v>1</v>
      </c>
      <c r="J157" s="10" t="n">
        <v>1</v>
      </c>
      <c r="K157" s="10">
        <f>IFERROR(J157/30,0)</f>
        <v/>
      </c>
      <c r="L157" s="9" t="n">
        <v>2</v>
      </c>
      <c r="M157" s="11" t="n">
        <v>0.9333</v>
      </c>
      <c r="N157" s="9" t="n">
        <v>1</v>
      </c>
      <c r="O157" s="9" t="n">
        <v>0</v>
      </c>
      <c r="P157" s="9" t="n">
        <v>0</v>
      </c>
      <c r="Q157" s="12" t="n">
        <v>0</v>
      </c>
      <c r="R157" s="12" t="n">
        <v>0</v>
      </c>
      <c r="S157" s="9">
        <f>H157+Q157-R157</f>
        <v/>
      </c>
      <c r="T157" s="12" t="n">
        <v>14</v>
      </c>
      <c r="U157" s="12" t="n">
        <v>7</v>
      </c>
      <c r="V157" s="12" t="n">
        <v>7</v>
      </c>
      <c r="W157" s="10">
        <f>K157*(T157+U157)</f>
        <v/>
      </c>
      <c r="X157" s="10">
        <f>K157*(T157+U157+V157)</f>
        <v/>
      </c>
      <c r="Y157" s="10">
        <f>IF(K157&gt;0,H157/K157,99999)</f>
        <v/>
      </c>
      <c r="Z157" s="8">
        <f>IF(AND(OR(L157&gt;=1,M157&lt;0.95),Y157&gt;120),"DATA CONFLICT - VERIFY",IF(OR(L157&gt;=1,M157&lt;0.95,Y157&lt;=14),"SERVICE / STOCKOUT REVIEW",IF(Y157&gt;120,"OVERSTOCK REVIEW",IF(S157&lt;=W157,"REPLENISHMENT REVIEW","NORMAL MONITORING"))))</f>
        <v/>
      </c>
      <c r="AA157" s="9">
        <f>IF(OR(Z157="DATA CONFLICT - VERIFY",Z157="SERVICE / STOCKOUT REVIEW"),0,IF(S157&lt;=W157,MAX(0,ROUNDUP(X157-S157,0)),0))</f>
        <v/>
      </c>
      <c r="AB157" s="8">
        <f>IF(Z157="DATA CONFLICT - VERIFY","P1 - DATA CONFLICT",IF(Z157="SERVICE / STOCKOUT REVIEW","P1 - SERVICE",IF(Z157="OVERSTOCK REVIEW","P2 - OVERSTOCK",IF(Z157="REPLENISHMENT REVIEW","P2 - REPLENISH","P3 - MONITOR"))))</f>
        <v/>
      </c>
      <c r="AC157" s="10" t="n">
        <v>5963.987647058823</v>
      </c>
      <c r="AD157" s="10" t="n">
        <v>4995.436053176471</v>
      </c>
      <c r="AE157" s="10">
        <f>IF(OR(AD157="",H157=""),"",H157*AD157)</f>
        <v/>
      </c>
    </row>
    <row r="158">
      <c r="A158" s="13" t="inlineStr">
        <is>
          <t>2022-12-31</t>
        </is>
      </c>
      <c r="B158" s="13" t="n">
        <v>1470</v>
      </c>
      <c r="C158" s="14" t="inlineStr">
        <is>
          <t>VietMode RP-62</t>
        </is>
      </c>
      <c r="D158" s="14" t="inlineStr">
        <is>
          <t>Outdoor</t>
        </is>
      </c>
      <c r="E158" s="13" t="inlineStr">
        <is>
          <t>Activewear</t>
        </is>
      </c>
      <c r="F158" s="13" t="inlineStr">
        <is>
          <t>L</t>
        </is>
      </c>
      <c r="G158" s="13" t="inlineStr">
        <is>
          <t>red</t>
        </is>
      </c>
      <c r="H158" s="15" t="n">
        <v>3</v>
      </c>
      <c r="I158" s="15" t="n">
        <v>1</v>
      </c>
      <c r="J158" s="16" t="n">
        <v>1</v>
      </c>
      <c r="K158" s="16">
        <f>IFERROR(J158/30,0)</f>
        <v/>
      </c>
      <c r="L158" s="15" t="n">
        <v>0</v>
      </c>
      <c r="M158" s="17" t="n">
        <v>1</v>
      </c>
      <c r="N158" s="15" t="n">
        <v>0</v>
      </c>
      <c r="O158" s="15" t="n">
        <v>0</v>
      </c>
      <c r="P158" s="15" t="n">
        <v>0</v>
      </c>
      <c r="Q158" s="12" t="n">
        <v>0</v>
      </c>
      <c r="R158" s="12" t="n">
        <v>0</v>
      </c>
      <c r="S158" s="15">
        <f>H158+Q158-R158</f>
        <v/>
      </c>
      <c r="T158" s="12" t="n">
        <v>14</v>
      </c>
      <c r="U158" s="12" t="n">
        <v>7</v>
      </c>
      <c r="V158" s="12" t="n">
        <v>7</v>
      </c>
      <c r="W158" s="16">
        <f>K158*(T158+U158)</f>
        <v/>
      </c>
      <c r="X158" s="16">
        <f>K158*(T158+U158+V158)</f>
        <v/>
      </c>
      <c r="Y158" s="16">
        <f>IF(K158&gt;0,H158/K158,99999)</f>
        <v/>
      </c>
      <c r="Z158" s="14">
        <f>IF(AND(OR(L158&gt;=1,M158&lt;0.95),Y158&gt;120),"DATA CONFLICT - VERIFY",IF(OR(L158&gt;=1,M158&lt;0.95,Y158&lt;=14),"SERVICE / STOCKOUT REVIEW",IF(Y158&gt;120,"OVERSTOCK REVIEW",IF(S158&lt;=W158,"REPLENISHMENT REVIEW","NORMAL MONITORING"))))</f>
        <v/>
      </c>
      <c r="AA158" s="15">
        <f>IF(OR(Z158="DATA CONFLICT - VERIFY",Z158="SERVICE / STOCKOUT REVIEW"),0,IF(S158&lt;=W158,MAX(0,ROUNDUP(X158-S158,0)),0))</f>
        <v/>
      </c>
      <c r="AB158" s="14">
        <f>IF(Z158="DATA CONFLICT - VERIFY","P1 - DATA CONFLICT",IF(Z158="SERVICE / STOCKOUT REVIEW","P1 - SERVICE",IF(Z158="OVERSTOCK REVIEW","P2 - OVERSTOCK",IF(Z158="REPLENISHMENT REVIEW","P2 - REPLENISH","P3 - MONITOR"))))</f>
        <v/>
      </c>
      <c r="AC158" s="16" t="n">
        <v>5963.987647058823</v>
      </c>
      <c r="AD158" s="16" t="n">
        <v>5665.788264705882</v>
      </c>
      <c r="AE158" s="16">
        <f>IF(OR(AD158="",H158=""),"",H158*AD158)</f>
        <v/>
      </c>
    </row>
    <row r="159">
      <c r="A159" s="7" t="inlineStr">
        <is>
          <t>2022-12-31</t>
        </is>
      </c>
      <c r="B159" s="7" t="n">
        <v>1487</v>
      </c>
      <c r="C159" s="8" t="inlineStr">
        <is>
          <t>VietMode RP-79</t>
        </is>
      </c>
      <c r="D159" s="8" t="inlineStr">
        <is>
          <t>Outdoor</t>
        </is>
      </c>
      <c r="E159" s="7" t="inlineStr">
        <is>
          <t>Activewear</t>
        </is>
      </c>
      <c r="F159" s="7" t="inlineStr">
        <is>
          <t>XL</t>
        </is>
      </c>
      <c r="G159" s="7" t="inlineStr">
        <is>
          <t>silver</t>
        </is>
      </c>
      <c r="H159" s="9" t="n">
        <v>3</v>
      </c>
      <c r="I159" s="9" t="n">
        <v>1</v>
      </c>
      <c r="J159" s="10" t="n">
        <v>1</v>
      </c>
      <c r="K159" s="10">
        <f>IFERROR(J159/30,0)</f>
        <v/>
      </c>
      <c r="L159" s="9" t="n">
        <v>2</v>
      </c>
      <c r="M159" s="11" t="n">
        <v>0.9333</v>
      </c>
      <c r="N159" s="9" t="n">
        <v>1</v>
      </c>
      <c r="O159" s="9" t="n">
        <v>0</v>
      </c>
      <c r="P159" s="9" t="n">
        <v>0</v>
      </c>
      <c r="Q159" s="12" t="n">
        <v>0</v>
      </c>
      <c r="R159" s="12" t="n">
        <v>0</v>
      </c>
      <c r="S159" s="9">
        <f>H159+Q159-R159</f>
        <v/>
      </c>
      <c r="T159" s="12" t="n">
        <v>14</v>
      </c>
      <c r="U159" s="12" t="n">
        <v>7</v>
      </c>
      <c r="V159" s="12" t="n">
        <v>7</v>
      </c>
      <c r="W159" s="10">
        <f>K159*(T159+U159)</f>
        <v/>
      </c>
      <c r="X159" s="10">
        <f>K159*(T159+U159+V159)</f>
        <v/>
      </c>
      <c r="Y159" s="10">
        <f>IF(K159&gt;0,H159/K159,99999)</f>
        <v/>
      </c>
      <c r="Z159" s="8">
        <f>IF(AND(OR(L159&gt;=1,M159&lt;0.95),Y159&gt;120),"DATA CONFLICT - VERIFY",IF(OR(L159&gt;=1,M159&lt;0.95,Y159&lt;=14),"SERVICE / STOCKOUT REVIEW",IF(Y159&gt;120,"OVERSTOCK REVIEW",IF(S159&lt;=W159,"REPLENISHMENT REVIEW","NORMAL MONITORING"))))</f>
        <v/>
      </c>
      <c r="AA159" s="9">
        <f>IF(OR(Z159="DATA CONFLICT - VERIFY",Z159="SERVICE / STOCKOUT REVIEW"),0,IF(S159&lt;=W159,MAX(0,ROUNDUP(X159-S159,0)),0))</f>
        <v/>
      </c>
      <c r="AB159" s="8">
        <f>IF(Z159="DATA CONFLICT - VERIFY","P1 - DATA CONFLICT",IF(Z159="SERVICE / STOCKOUT REVIEW","P1 - SERVICE",IF(Z159="OVERSTOCK REVIEW","P2 - OVERSTOCK",IF(Z159="REPLENISHMENT REVIEW","P2 - REPLENISH","P3 - MONITOR"))))</f>
        <v/>
      </c>
      <c r="AC159" s="10" t="n">
        <v>6219.408461538462</v>
      </c>
      <c r="AD159" s="10" t="n">
        <v>5908.438038461539</v>
      </c>
      <c r="AE159" s="10">
        <f>IF(OR(AD159="",H159=""),"",H159*AD159)</f>
        <v/>
      </c>
    </row>
    <row r="160">
      <c r="A160" s="13" t="inlineStr">
        <is>
          <t>2022-12-31</t>
        </is>
      </c>
      <c r="B160" s="13" t="n">
        <v>1488</v>
      </c>
      <c r="C160" s="14" t="inlineStr">
        <is>
          <t>VietMode RP-80</t>
        </is>
      </c>
      <c r="D160" s="14" t="inlineStr">
        <is>
          <t>Outdoor</t>
        </is>
      </c>
      <c r="E160" s="13" t="inlineStr">
        <is>
          <t>Activewear</t>
        </is>
      </c>
      <c r="F160" s="13" t="inlineStr">
        <is>
          <t>S</t>
        </is>
      </c>
      <c r="G160" s="13" t="inlineStr">
        <is>
          <t>pink</t>
        </is>
      </c>
      <c r="H160" s="15" t="n">
        <v>3</v>
      </c>
      <c r="I160" s="15" t="n">
        <v>1</v>
      </c>
      <c r="J160" s="16" t="n">
        <v>1</v>
      </c>
      <c r="K160" s="16">
        <f>IFERROR(J160/30,0)</f>
        <v/>
      </c>
      <c r="L160" s="15" t="n">
        <v>2</v>
      </c>
      <c r="M160" s="17" t="n">
        <v>0.9333</v>
      </c>
      <c r="N160" s="15" t="n">
        <v>1</v>
      </c>
      <c r="O160" s="15" t="n">
        <v>0</v>
      </c>
      <c r="P160" s="15" t="n">
        <v>0</v>
      </c>
      <c r="Q160" s="12" t="n">
        <v>0</v>
      </c>
      <c r="R160" s="12" t="n">
        <v>0</v>
      </c>
      <c r="S160" s="15">
        <f>H160+Q160-R160</f>
        <v/>
      </c>
      <c r="T160" s="12" t="n">
        <v>14</v>
      </c>
      <c r="U160" s="12" t="n">
        <v>7</v>
      </c>
      <c r="V160" s="12" t="n">
        <v>7</v>
      </c>
      <c r="W160" s="16">
        <f>K160*(T160+U160)</f>
        <v/>
      </c>
      <c r="X160" s="16">
        <f>K160*(T160+U160+V160)</f>
        <v/>
      </c>
      <c r="Y160" s="16">
        <f>IF(K160&gt;0,H160/K160,99999)</f>
        <v/>
      </c>
      <c r="Z160" s="14">
        <f>IF(AND(OR(L160&gt;=1,M160&lt;0.95),Y160&gt;120),"DATA CONFLICT - VERIFY",IF(OR(L160&gt;=1,M160&lt;0.95,Y160&lt;=14),"SERVICE / STOCKOUT REVIEW",IF(Y160&gt;120,"OVERSTOCK REVIEW",IF(S160&lt;=W160,"REPLENISHMENT REVIEW","NORMAL MONITORING"))))</f>
        <v/>
      </c>
      <c r="AA160" s="15">
        <f>IF(OR(Z160="DATA CONFLICT - VERIFY",Z160="SERVICE / STOCKOUT REVIEW"),0,IF(S160&lt;=W160,MAX(0,ROUNDUP(X160-S160,0)),0))</f>
        <v/>
      </c>
      <c r="AB160" s="14">
        <f>IF(Z160="DATA CONFLICT - VERIFY","P1 - DATA CONFLICT",IF(Z160="SERVICE / STOCKOUT REVIEW","P1 - SERVICE",IF(Z160="OVERSTOCK REVIEW","P2 - OVERSTOCK",IF(Z160="REPLENISHMENT REVIEW","P2 - REPLENISH","P3 - MONITOR"))))</f>
        <v/>
      </c>
      <c r="AC160" s="16" t="n">
        <v>6219.408461538462</v>
      </c>
      <c r="AD160" s="16" t="n">
        <v>5736.160424076923</v>
      </c>
      <c r="AE160" s="16">
        <f>IF(OR(AD160="",H160=""),"",H160*AD160)</f>
        <v/>
      </c>
    </row>
    <row r="161">
      <c r="A161" s="7" t="inlineStr">
        <is>
          <t>2022-12-31</t>
        </is>
      </c>
      <c r="B161" s="7" t="n">
        <v>1489</v>
      </c>
      <c r="C161" s="8" t="inlineStr">
        <is>
          <t>VietMode RP-81</t>
        </is>
      </c>
      <c r="D161" s="8" t="inlineStr">
        <is>
          <t>Outdoor</t>
        </is>
      </c>
      <c r="E161" s="7" t="inlineStr">
        <is>
          <t>Activewear</t>
        </is>
      </c>
      <c r="F161" s="7" t="inlineStr">
        <is>
          <t>M</t>
        </is>
      </c>
      <c r="G161" s="7" t="inlineStr">
        <is>
          <t>yellow</t>
        </is>
      </c>
      <c r="H161" s="9" t="n">
        <v>98</v>
      </c>
      <c r="I161" s="9" t="n">
        <v>1</v>
      </c>
      <c r="J161" s="10" t="n">
        <v>1.333333333333333</v>
      </c>
      <c r="K161" s="10">
        <f>IFERROR(J161/30,0)</f>
        <v/>
      </c>
      <c r="L161" s="9" t="n">
        <v>0</v>
      </c>
      <c r="M161" s="11" t="n">
        <v>1</v>
      </c>
      <c r="N161" s="9" t="n">
        <v>0</v>
      </c>
      <c r="O161" s="9" t="n">
        <v>1</v>
      </c>
      <c r="P161" s="9" t="n">
        <v>0</v>
      </c>
      <c r="Q161" s="12" t="n">
        <v>0</v>
      </c>
      <c r="R161" s="12" t="n">
        <v>0</v>
      </c>
      <c r="S161" s="9">
        <f>H161+Q161-R161</f>
        <v/>
      </c>
      <c r="T161" s="12" t="n">
        <v>14</v>
      </c>
      <c r="U161" s="12" t="n">
        <v>7</v>
      </c>
      <c r="V161" s="12" t="n">
        <v>7</v>
      </c>
      <c r="W161" s="10">
        <f>K161*(T161+U161)</f>
        <v/>
      </c>
      <c r="X161" s="10">
        <f>K161*(T161+U161+V161)</f>
        <v/>
      </c>
      <c r="Y161" s="10">
        <f>IF(K161&gt;0,H161/K161,99999)</f>
        <v/>
      </c>
      <c r="Z161" s="8">
        <f>IF(AND(OR(L161&gt;=1,M161&lt;0.95),Y161&gt;120),"DATA CONFLICT - VERIFY",IF(OR(L161&gt;=1,M161&lt;0.95,Y161&lt;=14),"SERVICE / STOCKOUT REVIEW",IF(Y161&gt;120,"OVERSTOCK REVIEW",IF(S161&lt;=W161,"REPLENISHMENT REVIEW","NORMAL MONITORING"))))</f>
        <v/>
      </c>
      <c r="AA161" s="9">
        <f>IF(OR(Z161="DATA CONFLICT - VERIFY",Z161="SERVICE / STOCKOUT REVIEW"),0,IF(S161&lt;=W161,MAX(0,ROUNDUP(X161-S161,0)),0))</f>
        <v/>
      </c>
      <c r="AB161" s="8">
        <f>IF(Z161="DATA CONFLICT - VERIFY","P1 - DATA CONFLICT",IF(Z161="SERVICE / STOCKOUT REVIEW","P1 - SERVICE",IF(Z161="OVERSTOCK REVIEW","P2 - OVERSTOCK",IF(Z161="REPLENISHMENT REVIEW","P2 - REPLENISH","P3 - MONITOR"))))</f>
        <v/>
      </c>
      <c r="AC161" s="10" t="n">
        <v>3248.547159763314</v>
      </c>
      <c r="AD161" s="10" t="n">
        <v>2722.282519881657</v>
      </c>
      <c r="AE161" s="10">
        <f>IF(OR(AD161="",H161=""),"",H161*AD161)</f>
        <v/>
      </c>
    </row>
    <row r="162">
      <c r="A162" s="13" t="inlineStr">
        <is>
          <t>2022-12-31</t>
        </is>
      </c>
      <c r="B162" s="13" t="n">
        <v>1490</v>
      </c>
      <c r="C162" s="14" t="inlineStr">
        <is>
          <t>VietMode RP-82</t>
        </is>
      </c>
      <c r="D162" s="14" t="inlineStr">
        <is>
          <t>Outdoor</t>
        </is>
      </c>
      <c r="E162" s="13" t="inlineStr">
        <is>
          <t>Activewear</t>
        </is>
      </c>
      <c r="F162" s="13" t="inlineStr">
        <is>
          <t>L</t>
        </is>
      </c>
      <c r="G162" s="13" t="inlineStr">
        <is>
          <t>red</t>
        </is>
      </c>
      <c r="H162" s="15" t="n">
        <v>87</v>
      </c>
      <c r="I162" s="15" t="n">
        <v>1</v>
      </c>
      <c r="J162" s="16" t="n">
        <v>1.333333333333333</v>
      </c>
      <c r="K162" s="16">
        <f>IFERROR(J162/30,0)</f>
        <v/>
      </c>
      <c r="L162" s="15" t="n">
        <v>1</v>
      </c>
      <c r="M162" s="17" t="n">
        <v>0.9667</v>
      </c>
      <c r="N162" s="15" t="n">
        <v>1</v>
      </c>
      <c r="O162" s="15" t="n">
        <v>1</v>
      </c>
      <c r="P162" s="15" t="n">
        <v>0</v>
      </c>
      <c r="Q162" s="12" t="n">
        <v>0</v>
      </c>
      <c r="R162" s="12" t="n">
        <v>0</v>
      </c>
      <c r="S162" s="15">
        <f>H162+Q162-R162</f>
        <v/>
      </c>
      <c r="T162" s="12" t="n">
        <v>14</v>
      </c>
      <c r="U162" s="12" t="n">
        <v>7</v>
      </c>
      <c r="V162" s="12" t="n">
        <v>7</v>
      </c>
      <c r="W162" s="16">
        <f>K162*(T162+U162)</f>
        <v/>
      </c>
      <c r="X162" s="16">
        <f>K162*(T162+U162+V162)</f>
        <v/>
      </c>
      <c r="Y162" s="16">
        <f>IF(K162&gt;0,H162/K162,99999)</f>
        <v/>
      </c>
      <c r="Z162" s="14">
        <f>IF(AND(OR(L162&gt;=1,M162&lt;0.95),Y162&gt;120),"DATA CONFLICT - VERIFY",IF(OR(L162&gt;=1,M162&lt;0.95,Y162&lt;=14),"SERVICE / STOCKOUT REVIEW",IF(Y162&gt;120,"OVERSTOCK REVIEW",IF(S162&lt;=W162,"REPLENISHMENT REVIEW","NORMAL MONITORING"))))</f>
        <v/>
      </c>
      <c r="AA162" s="15">
        <f>IF(OR(Z162="DATA CONFLICT - VERIFY",Z162="SERVICE / STOCKOUT REVIEW"),0,IF(S162&lt;=W162,MAX(0,ROUNDUP(X162-S162,0)),0))</f>
        <v/>
      </c>
      <c r="AB162" s="14">
        <f>IF(Z162="DATA CONFLICT - VERIFY","P1 - DATA CONFLICT",IF(Z162="SERVICE / STOCKOUT REVIEW","P1 - SERVICE",IF(Z162="OVERSTOCK REVIEW","P2 - OVERSTOCK",IF(Z162="REPLENISHMENT REVIEW","P2 - REPLENISH","P3 - MONITOR"))))</f>
        <v/>
      </c>
      <c r="AC162" s="16" t="n">
        <v>3248.547159763314</v>
      </c>
      <c r="AD162" s="16" t="n">
        <v>3086.119801775148</v>
      </c>
      <c r="AE162" s="16">
        <f>IF(OR(AD162="",H162=""),"",H162*AD162)</f>
        <v/>
      </c>
    </row>
    <row r="163">
      <c r="A163" s="7" t="inlineStr">
        <is>
          <t>2022-12-31</t>
        </is>
      </c>
      <c r="B163" s="7" t="n">
        <v>1493</v>
      </c>
      <c r="C163" s="8" t="inlineStr">
        <is>
          <t>VietMode RP-85</t>
        </is>
      </c>
      <c r="D163" s="8" t="inlineStr">
        <is>
          <t>Outdoor</t>
        </is>
      </c>
      <c r="E163" s="7" t="inlineStr">
        <is>
          <t>Activewear</t>
        </is>
      </c>
      <c r="F163" s="7" t="inlineStr">
        <is>
          <t>M</t>
        </is>
      </c>
      <c r="G163" s="7" t="inlineStr">
        <is>
          <t>blue</t>
        </is>
      </c>
      <c r="H163" s="9" t="n">
        <v>44</v>
      </c>
      <c r="I163" s="9" t="n">
        <v>3</v>
      </c>
      <c r="J163" s="10" t="n">
        <v>2</v>
      </c>
      <c r="K163" s="10">
        <f>IFERROR(J163/30,0)</f>
        <v/>
      </c>
      <c r="L163" s="9" t="n">
        <v>2</v>
      </c>
      <c r="M163" s="11" t="n">
        <v>0.9333</v>
      </c>
      <c r="N163" s="9" t="n">
        <v>1</v>
      </c>
      <c r="O163" s="9" t="n">
        <v>1</v>
      </c>
      <c r="P163" s="9" t="n">
        <v>0</v>
      </c>
      <c r="Q163" s="12" t="n">
        <v>0</v>
      </c>
      <c r="R163" s="12" t="n">
        <v>0</v>
      </c>
      <c r="S163" s="9">
        <f>H163+Q163-R163</f>
        <v/>
      </c>
      <c r="T163" s="12" t="n">
        <v>14</v>
      </c>
      <c r="U163" s="12" t="n">
        <v>7</v>
      </c>
      <c r="V163" s="12" t="n">
        <v>7</v>
      </c>
      <c r="W163" s="10">
        <f>K163*(T163+U163)</f>
        <v/>
      </c>
      <c r="X163" s="10">
        <f>K163*(T163+U163+V163)</f>
        <v/>
      </c>
      <c r="Y163" s="10">
        <f>IF(K163&gt;0,H163/K163,99999)</f>
        <v/>
      </c>
      <c r="Z163" s="8">
        <f>IF(AND(OR(L163&gt;=1,M163&lt;0.95),Y163&gt;120),"DATA CONFLICT - VERIFY",IF(OR(L163&gt;=1,M163&lt;0.95,Y163&lt;=14),"SERVICE / STOCKOUT REVIEW",IF(Y163&gt;120,"OVERSTOCK REVIEW",IF(S163&lt;=W163,"REPLENISHMENT REVIEW","NORMAL MONITORING"))))</f>
        <v/>
      </c>
      <c r="AA163" s="9">
        <f>IF(OR(Z163="DATA CONFLICT - VERIFY",Z163="SERVICE / STOCKOUT REVIEW"),0,IF(S163&lt;=W163,MAX(0,ROUNDUP(X163-S163,0)),0))</f>
        <v/>
      </c>
      <c r="AB163" s="8">
        <f>IF(Z163="DATA CONFLICT - VERIFY","P1 - DATA CONFLICT",IF(Z163="SERVICE / STOCKOUT REVIEW","P1 - SERVICE",IF(Z163="OVERSTOCK REVIEW","P2 - OVERSTOCK",IF(Z163="REPLENISHMENT REVIEW","P2 - REPLENISH","P3 - MONITOR"))))</f>
        <v/>
      </c>
      <c r="AC163" s="10" t="n">
        <v>4610.885236363636</v>
      </c>
      <c r="AD163" s="10" t="n">
        <v>3650.898930152728</v>
      </c>
      <c r="AE163" s="10">
        <f>IF(OR(AD163="",H163=""),"",H163*AD163)</f>
        <v/>
      </c>
    </row>
    <row r="164">
      <c r="A164" s="13" t="inlineStr">
        <is>
          <t>2022-12-31</t>
        </is>
      </c>
      <c r="B164" s="13" t="n">
        <v>1494</v>
      </c>
      <c r="C164" s="14" t="inlineStr">
        <is>
          <t>VietMode RP-86</t>
        </is>
      </c>
      <c r="D164" s="14" t="inlineStr">
        <is>
          <t>Outdoor</t>
        </is>
      </c>
      <c r="E164" s="13" t="inlineStr">
        <is>
          <t>Activewear</t>
        </is>
      </c>
      <c r="F164" s="13" t="inlineStr">
        <is>
          <t>L</t>
        </is>
      </c>
      <c r="G164" s="13" t="inlineStr">
        <is>
          <t>white</t>
        </is>
      </c>
      <c r="H164" s="15" t="n">
        <v>48</v>
      </c>
      <c r="I164" s="15" t="n">
        <v>3</v>
      </c>
      <c r="J164" s="16" t="n">
        <v>2</v>
      </c>
      <c r="K164" s="16">
        <f>IFERROR(J164/30,0)</f>
        <v/>
      </c>
      <c r="L164" s="15" t="n">
        <v>2</v>
      </c>
      <c r="M164" s="17" t="n">
        <v>0.9333</v>
      </c>
      <c r="N164" s="15" t="n">
        <v>1</v>
      </c>
      <c r="O164" s="15" t="n">
        <v>1</v>
      </c>
      <c r="P164" s="15" t="n">
        <v>0</v>
      </c>
      <c r="Q164" s="12" t="n">
        <v>0</v>
      </c>
      <c r="R164" s="12" t="n">
        <v>0</v>
      </c>
      <c r="S164" s="15">
        <f>H164+Q164-R164</f>
        <v/>
      </c>
      <c r="T164" s="12" t="n">
        <v>14</v>
      </c>
      <c r="U164" s="12" t="n">
        <v>7</v>
      </c>
      <c r="V164" s="12" t="n">
        <v>7</v>
      </c>
      <c r="W164" s="16">
        <f>K164*(T164+U164)</f>
        <v/>
      </c>
      <c r="X164" s="16">
        <f>K164*(T164+U164+V164)</f>
        <v/>
      </c>
      <c r="Y164" s="16">
        <f>IF(K164&gt;0,H164/K164,99999)</f>
        <v/>
      </c>
      <c r="Z164" s="14">
        <f>IF(AND(OR(L164&gt;=1,M164&lt;0.95),Y164&gt;120),"DATA CONFLICT - VERIFY",IF(OR(L164&gt;=1,M164&lt;0.95,Y164&lt;=14),"SERVICE / STOCKOUT REVIEW",IF(Y164&gt;120,"OVERSTOCK REVIEW",IF(S164&lt;=W164,"REPLENISHMENT REVIEW","NORMAL MONITORING"))))</f>
        <v/>
      </c>
      <c r="AA164" s="15">
        <f>IF(OR(Z164="DATA CONFLICT - VERIFY",Z164="SERVICE / STOCKOUT REVIEW"),0,IF(S164&lt;=W164,MAX(0,ROUNDUP(X164-S164,0)),0))</f>
        <v/>
      </c>
      <c r="AB164" s="14">
        <f>IF(Z164="DATA CONFLICT - VERIFY","P1 - DATA CONFLICT",IF(Z164="SERVICE / STOCKOUT REVIEW","P1 - SERVICE",IF(Z164="OVERSTOCK REVIEW","P2 - OVERSTOCK",IF(Z164="REPLENISHMENT REVIEW","P2 - REPLENISH","P3 - MONITOR"))))</f>
        <v/>
      </c>
      <c r="AC164" s="16" t="n">
        <v>4610.885236363636</v>
      </c>
      <c r="AD164" s="16" t="n">
        <v>2685.840650181818</v>
      </c>
      <c r="AE164" s="16">
        <f>IF(OR(AD164="",H164=""),"",H164*AD164)</f>
        <v/>
      </c>
    </row>
    <row r="165">
      <c r="A165" s="7" t="inlineStr">
        <is>
          <t>2022-12-31</t>
        </is>
      </c>
      <c r="B165" s="7" t="n">
        <v>1497</v>
      </c>
      <c r="C165" s="8" t="inlineStr">
        <is>
          <t>VietMode RP-89</t>
        </is>
      </c>
      <c r="D165" s="8" t="inlineStr">
        <is>
          <t>Outdoor</t>
        </is>
      </c>
      <c r="E165" s="7" t="inlineStr">
        <is>
          <t>Activewear</t>
        </is>
      </c>
      <c r="F165" s="7" t="inlineStr">
        <is>
          <t>M</t>
        </is>
      </c>
      <c r="G165" s="7" t="inlineStr">
        <is>
          <t>silver</t>
        </is>
      </c>
      <c r="H165" s="9" t="n">
        <v>17</v>
      </c>
      <c r="I165" s="9" t="n">
        <v>1</v>
      </c>
      <c r="J165" s="10" t="n">
        <v>1</v>
      </c>
      <c r="K165" s="10">
        <f>IFERROR(J165/30,0)</f>
        <v/>
      </c>
      <c r="L165" s="9" t="n">
        <v>0</v>
      </c>
      <c r="M165" s="11" t="n">
        <v>1</v>
      </c>
      <c r="N165" s="9" t="n">
        <v>0</v>
      </c>
      <c r="O165" s="9" t="n">
        <v>1</v>
      </c>
      <c r="P165" s="9" t="n">
        <v>0</v>
      </c>
      <c r="Q165" s="12" t="n">
        <v>0</v>
      </c>
      <c r="R165" s="12" t="n">
        <v>0</v>
      </c>
      <c r="S165" s="9">
        <f>H165+Q165-R165</f>
        <v/>
      </c>
      <c r="T165" s="12" t="n">
        <v>14</v>
      </c>
      <c r="U165" s="12" t="n">
        <v>7</v>
      </c>
      <c r="V165" s="12" t="n">
        <v>7</v>
      </c>
      <c r="W165" s="10">
        <f>K165*(T165+U165)</f>
        <v/>
      </c>
      <c r="X165" s="10">
        <f>K165*(T165+U165+V165)</f>
        <v/>
      </c>
      <c r="Y165" s="10">
        <f>IF(K165&gt;0,H165/K165,99999)</f>
        <v/>
      </c>
      <c r="Z165" s="8">
        <f>IF(AND(OR(L165&gt;=1,M165&lt;0.95),Y165&gt;120),"DATA CONFLICT - VERIFY",IF(OR(L165&gt;=1,M165&lt;0.95,Y165&lt;=14),"SERVICE / STOCKOUT REVIEW",IF(Y165&gt;120,"OVERSTOCK REVIEW",IF(S165&lt;=W165,"REPLENISHMENT REVIEW","NORMAL MONITORING"))))</f>
        <v/>
      </c>
      <c r="AA165" s="9">
        <f>IF(OR(Z165="DATA CONFLICT - VERIFY",Z165="SERVICE / STOCKOUT REVIEW"),0,IF(S165&lt;=W165,MAX(0,ROUNDUP(X165-S165,0)),0))</f>
        <v/>
      </c>
      <c r="AB165" s="8">
        <f>IF(Z165="DATA CONFLICT - VERIFY","P1 - DATA CONFLICT",IF(Z165="SERVICE / STOCKOUT REVIEW","P1 - SERVICE",IF(Z165="OVERSTOCK REVIEW","P2 - OVERSTOCK",IF(Z165="REPLENISHMENT REVIEW","P2 - REPLENISH","P3 - MONITOR"))))</f>
        <v/>
      </c>
      <c r="AC165" s="10" t="n">
        <v>5669.37</v>
      </c>
      <c r="AD165" s="10" t="n">
        <v>5385.9015</v>
      </c>
      <c r="AE165" s="10">
        <f>IF(OR(AD165="",H165=""),"",H165*AD165)</f>
        <v/>
      </c>
    </row>
    <row r="166">
      <c r="A166" s="13" t="inlineStr">
        <is>
          <t>2022-12-31</t>
        </is>
      </c>
      <c r="B166" s="13" t="n">
        <v>1498</v>
      </c>
      <c r="C166" s="14" t="inlineStr">
        <is>
          <t>VietMode RP-90</t>
        </is>
      </c>
      <c r="D166" s="14" t="inlineStr">
        <is>
          <t>Outdoor</t>
        </is>
      </c>
      <c r="E166" s="13" t="inlineStr">
        <is>
          <t>Activewear</t>
        </is>
      </c>
      <c r="F166" s="13" t="inlineStr">
        <is>
          <t>L</t>
        </is>
      </c>
      <c r="G166" s="13" t="inlineStr">
        <is>
          <t>pink</t>
        </is>
      </c>
      <c r="H166" s="15" t="n">
        <v>17</v>
      </c>
      <c r="I166" s="15" t="n">
        <v>1</v>
      </c>
      <c r="J166" s="16" t="n">
        <v>1</v>
      </c>
      <c r="K166" s="16">
        <f>IFERROR(J166/30,0)</f>
        <v/>
      </c>
      <c r="L166" s="15" t="n">
        <v>2</v>
      </c>
      <c r="M166" s="17" t="n">
        <v>0.9333</v>
      </c>
      <c r="N166" s="15" t="n">
        <v>1</v>
      </c>
      <c r="O166" s="15" t="n">
        <v>1</v>
      </c>
      <c r="P166" s="15" t="n">
        <v>0</v>
      </c>
      <c r="Q166" s="12" t="n">
        <v>0</v>
      </c>
      <c r="R166" s="12" t="n">
        <v>0</v>
      </c>
      <c r="S166" s="15">
        <f>H166+Q166-R166</f>
        <v/>
      </c>
      <c r="T166" s="12" t="n">
        <v>14</v>
      </c>
      <c r="U166" s="12" t="n">
        <v>7</v>
      </c>
      <c r="V166" s="12" t="n">
        <v>7</v>
      </c>
      <c r="W166" s="16">
        <f>K166*(T166+U166)</f>
        <v/>
      </c>
      <c r="X166" s="16">
        <f>K166*(T166+U166+V166)</f>
        <v/>
      </c>
      <c r="Y166" s="16">
        <f>IF(K166&gt;0,H166/K166,99999)</f>
        <v/>
      </c>
      <c r="Z166" s="14">
        <f>IF(AND(OR(L166&gt;=1,M166&lt;0.95),Y166&gt;120),"DATA CONFLICT - VERIFY",IF(OR(L166&gt;=1,M166&lt;0.95,Y166&lt;=14),"SERVICE / STOCKOUT REVIEW",IF(Y166&gt;120,"OVERSTOCK REVIEW",IF(S166&lt;=W166,"REPLENISHMENT REVIEW","NORMAL MONITORING"))))</f>
        <v/>
      </c>
      <c r="AA166" s="15">
        <f>IF(OR(Z166="DATA CONFLICT - VERIFY",Z166="SERVICE / STOCKOUT REVIEW"),0,IF(S166&lt;=W166,MAX(0,ROUNDUP(X166-S166,0)),0))</f>
        <v/>
      </c>
      <c r="AB166" s="14">
        <f>IF(Z166="DATA CONFLICT - VERIFY","P1 - DATA CONFLICT",IF(Z166="SERVICE / STOCKOUT REVIEW","P1 - SERVICE",IF(Z166="OVERSTOCK REVIEW","P2 - OVERSTOCK",IF(Z166="REPLENISHMENT REVIEW","P2 - REPLENISH","P3 - MONITOR"))))</f>
        <v/>
      </c>
      <c r="AC166" s="16" t="n">
        <v>5669.37</v>
      </c>
      <c r="AD166" s="16" t="n">
        <v>3994.071165</v>
      </c>
      <c r="AE166" s="16">
        <f>IF(OR(AD166="",H166=""),"",H166*AD166)</f>
        <v/>
      </c>
    </row>
    <row r="167">
      <c r="A167" s="7" t="inlineStr">
        <is>
          <t>2022-12-31</t>
        </is>
      </c>
      <c r="B167" s="7" t="n">
        <v>1517</v>
      </c>
      <c r="C167" s="8" t="inlineStr">
        <is>
          <t>VietMode RP-09</t>
        </is>
      </c>
      <c r="D167" s="8" t="inlineStr">
        <is>
          <t>Outdoor</t>
        </is>
      </c>
      <c r="E167" s="7" t="inlineStr">
        <is>
          <t>Activewear</t>
        </is>
      </c>
      <c r="F167" s="7" t="inlineStr">
        <is>
          <t>M</t>
        </is>
      </c>
      <c r="G167" s="7" t="inlineStr">
        <is>
          <t>silver</t>
        </is>
      </c>
      <c r="H167" s="9" t="n">
        <v>190</v>
      </c>
      <c r="I167" s="9" t="n">
        <v>1</v>
      </c>
      <c r="J167" s="10" t="n">
        <v>2.333333333333333</v>
      </c>
      <c r="K167" s="10">
        <f>IFERROR(J167/30,0)</f>
        <v/>
      </c>
      <c r="L167" s="9" t="n">
        <v>2</v>
      </c>
      <c r="M167" s="11" t="n">
        <v>0.9333</v>
      </c>
      <c r="N167" s="9" t="n">
        <v>1</v>
      </c>
      <c r="O167" s="9" t="n">
        <v>1</v>
      </c>
      <c r="P167" s="9" t="n">
        <v>0</v>
      </c>
      <c r="Q167" s="12" t="n">
        <v>0</v>
      </c>
      <c r="R167" s="12" t="n">
        <v>0</v>
      </c>
      <c r="S167" s="9">
        <f>H167+Q167-R167</f>
        <v/>
      </c>
      <c r="T167" s="12" t="n">
        <v>14</v>
      </c>
      <c r="U167" s="12" t="n">
        <v>7</v>
      </c>
      <c r="V167" s="12" t="n">
        <v>7</v>
      </c>
      <c r="W167" s="10">
        <f>K167*(T167+U167)</f>
        <v/>
      </c>
      <c r="X167" s="10">
        <f>K167*(T167+U167+V167)</f>
        <v/>
      </c>
      <c r="Y167" s="10">
        <f>IF(K167&gt;0,H167/K167,99999)</f>
        <v/>
      </c>
      <c r="Z167" s="8">
        <f>IF(AND(OR(L167&gt;=1,M167&lt;0.95),Y167&gt;120),"DATA CONFLICT - VERIFY",IF(OR(L167&gt;=1,M167&lt;0.95,Y167&lt;=14),"SERVICE / STOCKOUT REVIEW",IF(Y167&gt;120,"OVERSTOCK REVIEW",IF(S167&lt;=W167,"REPLENISHMENT REVIEW","NORMAL MONITORING"))))</f>
        <v/>
      </c>
      <c r="AA167" s="9">
        <f>IF(OR(Z167="DATA CONFLICT - VERIFY",Z167="SERVICE / STOCKOUT REVIEW"),0,IF(S167&lt;=W167,MAX(0,ROUNDUP(X167-S167,0)),0))</f>
        <v/>
      </c>
      <c r="AB167" s="8">
        <f>IF(Z167="DATA CONFLICT - VERIFY","P1 - DATA CONFLICT",IF(Z167="SERVICE / STOCKOUT REVIEW","P1 - SERVICE",IF(Z167="OVERSTOCK REVIEW","P2 - OVERSTOCK",IF(Z167="REPLENISHMENT REVIEW","P2 - REPLENISH","P3 - MONITOR"))))</f>
        <v/>
      </c>
      <c r="AC167" s="10" t="n">
        <v>2317.901162207358</v>
      </c>
      <c r="AD167" s="10" t="n">
        <v>1762.068463510034</v>
      </c>
      <c r="AE167" s="10">
        <f>IF(OR(AD167="",H167=""),"",H167*AD167)</f>
        <v/>
      </c>
    </row>
    <row r="168">
      <c r="A168" s="13" t="inlineStr">
        <is>
          <t>2022-12-31</t>
        </is>
      </c>
      <c r="B168" s="13" t="n">
        <v>1518</v>
      </c>
      <c r="C168" s="14" t="inlineStr">
        <is>
          <t>VietMode RP-10</t>
        </is>
      </c>
      <c r="D168" s="14" t="inlineStr">
        <is>
          <t>Outdoor</t>
        </is>
      </c>
      <c r="E168" s="13" t="inlineStr">
        <is>
          <t>Activewear</t>
        </is>
      </c>
      <c r="F168" s="13" t="inlineStr">
        <is>
          <t>L</t>
        </is>
      </c>
      <c r="G168" s="13" t="inlineStr">
        <is>
          <t>pink</t>
        </is>
      </c>
      <c r="H168" s="15" t="n">
        <v>179</v>
      </c>
      <c r="I168" s="15" t="n">
        <v>1</v>
      </c>
      <c r="J168" s="16" t="n">
        <v>2.333333333333333</v>
      </c>
      <c r="K168" s="16">
        <f>IFERROR(J168/30,0)</f>
        <v/>
      </c>
      <c r="L168" s="15" t="n">
        <v>1</v>
      </c>
      <c r="M168" s="17" t="n">
        <v>0.9667</v>
      </c>
      <c r="N168" s="15" t="n">
        <v>1</v>
      </c>
      <c r="O168" s="15" t="n">
        <v>1</v>
      </c>
      <c r="P168" s="15" t="n">
        <v>0</v>
      </c>
      <c r="Q168" s="12" t="n">
        <v>0</v>
      </c>
      <c r="R168" s="12" t="n">
        <v>0</v>
      </c>
      <c r="S168" s="15">
        <f>H168+Q168-R168</f>
        <v/>
      </c>
      <c r="T168" s="12" t="n">
        <v>14</v>
      </c>
      <c r="U168" s="12" t="n">
        <v>7</v>
      </c>
      <c r="V168" s="12" t="n">
        <v>7</v>
      </c>
      <c r="W168" s="16">
        <f>K168*(T168+U168)</f>
        <v/>
      </c>
      <c r="X168" s="16">
        <f>K168*(T168+U168+V168)</f>
        <v/>
      </c>
      <c r="Y168" s="16">
        <f>IF(K168&gt;0,H168/K168,99999)</f>
        <v/>
      </c>
      <c r="Z168" s="14">
        <f>IF(AND(OR(L168&gt;=1,M168&lt;0.95),Y168&gt;120),"DATA CONFLICT - VERIFY",IF(OR(L168&gt;=1,M168&lt;0.95,Y168&lt;=14),"SERVICE / STOCKOUT REVIEW",IF(Y168&gt;120,"OVERSTOCK REVIEW",IF(S168&lt;=W168,"REPLENISHMENT REVIEW","NORMAL MONITORING"))))</f>
        <v/>
      </c>
      <c r="AA168" s="15">
        <f>IF(OR(Z168="DATA CONFLICT - VERIFY",Z168="SERVICE / STOCKOUT REVIEW"),0,IF(S168&lt;=W168,MAX(0,ROUNDUP(X168-S168,0)),0))</f>
        <v/>
      </c>
      <c r="AB168" s="14">
        <f>IF(Z168="DATA CONFLICT - VERIFY","P1 - DATA CONFLICT",IF(Z168="SERVICE / STOCKOUT REVIEW","P1 - SERVICE",IF(Z168="OVERSTOCK REVIEW","P2 - OVERSTOCK",IF(Z168="REPLENISHMENT REVIEW","P2 - REPLENISH","P3 - MONITOR"))))</f>
        <v/>
      </c>
      <c r="AC168" s="16" t="n">
        <v>2317.901162207358</v>
      </c>
      <c r="AD168" s="16" t="n">
        <v>2173.264129685619</v>
      </c>
      <c r="AE168" s="16">
        <f>IF(OR(AD168="",H168=""),"",H168*AD168)</f>
        <v/>
      </c>
    </row>
    <row r="169">
      <c r="A169" s="7" t="inlineStr">
        <is>
          <t>2022-12-31</t>
        </is>
      </c>
      <c r="B169" s="7" t="n">
        <v>1519</v>
      </c>
      <c r="C169" s="8" t="inlineStr">
        <is>
          <t>VietMode RP-11</t>
        </is>
      </c>
      <c r="D169" s="8" t="inlineStr">
        <is>
          <t>Outdoor</t>
        </is>
      </c>
      <c r="E169" s="7" t="inlineStr">
        <is>
          <t>Activewear</t>
        </is>
      </c>
      <c r="F169" s="7" t="inlineStr">
        <is>
          <t>XL</t>
        </is>
      </c>
      <c r="G169" s="7" t="inlineStr">
        <is>
          <t>yellow</t>
        </is>
      </c>
      <c r="H169" s="9" t="n">
        <v>29</v>
      </c>
      <c r="I169" s="9" t="n">
        <v>1</v>
      </c>
      <c r="J169" s="10" t="n">
        <v>1.333333333333333</v>
      </c>
      <c r="K169" s="10">
        <f>IFERROR(J169/30,0)</f>
        <v/>
      </c>
      <c r="L169" s="9" t="n">
        <v>1</v>
      </c>
      <c r="M169" s="11" t="n">
        <v>0.9667</v>
      </c>
      <c r="N169" s="9" t="n">
        <v>1</v>
      </c>
      <c r="O169" s="9" t="n">
        <v>1</v>
      </c>
      <c r="P169" s="9" t="n">
        <v>0</v>
      </c>
      <c r="Q169" s="12" t="n">
        <v>0</v>
      </c>
      <c r="R169" s="12" t="n">
        <v>0</v>
      </c>
      <c r="S169" s="9">
        <f>H169+Q169-R169</f>
        <v/>
      </c>
      <c r="T169" s="12" t="n">
        <v>14</v>
      </c>
      <c r="U169" s="12" t="n">
        <v>7</v>
      </c>
      <c r="V169" s="12" t="n">
        <v>7</v>
      </c>
      <c r="W169" s="10">
        <f>K169*(T169+U169)</f>
        <v/>
      </c>
      <c r="X169" s="10">
        <f>K169*(T169+U169+V169)</f>
        <v/>
      </c>
      <c r="Y169" s="10">
        <f>IF(K169&gt;0,H169/K169,99999)</f>
        <v/>
      </c>
      <c r="Z169" s="8">
        <f>IF(AND(OR(L169&gt;=1,M169&lt;0.95),Y169&gt;120),"DATA CONFLICT - VERIFY",IF(OR(L169&gt;=1,M169&lt;0.95,Y169&lt;=14),"SERVICE / STOCKOUT REVIEW",IF(Y169&gt;120,"OVERSTOCK REVIEW",IF(S169&lt;=W169,"REPLENISHMENT REVIEW","NORMAL MONITORING"))))</f>
        <v/>
      </c>
      <c r="AA169" s="9">
        <f>IF(OR(Z169="DATA CONFLICT - VERIFY",Z169="SERVICE / STOCKOUT REVIEW"),0,IF(S169&lt;=W169,MAX(0,ROUNDUP(X169-S169,0)),0))</f>
        <v/>
      </c>
      <c r="AB169" s="8">
        <f>IF(Z169="DATA CONFLICT - VERIFY","P1 - DATA CONFLICT",IF(Z169="SERVICE / STOCKOUT REVIEW","P1 - SERVICE",IF(Z169="OVERSTOCK REVIEW","P2 - OVERSTOCK",IF(Z169="REPLENISHMENT REVIEW","P2 - REPLENISH","P3 - MONITOR"))))</f>
        <v/>
      </c>
      <c r="AC169" s="10" t="n">
        <v>2622.890264900662</v>
      </c>
      <c r="AD169" s="10" t="n">
        <v>2278.504773119205</v>
      </c>
      <c r="AE169" s="10">
        <f>IF(OR(AD169="",H169=""),"",H169*AD169)</f>
        <v/>
      </c>
    </row>
    <row r="170">
      <c r="A170" s="13" t="inlineStr">
        <is>
          <t>2022-12-31</t>
        </is>
      </c>
      <c r="B170" s="13" t="n">
        <v>1520</v>
      </c>
      <c r="C170" s="14" t="inlineStr">
        <is>
          <t>VietMode RP-12</t>
        </is>
      </c>
      <c r="D170" s="14" t="inlineStr">
        <is>
          <t>Outdoor</t>
        </is>
      </c>
      <c r="E170" s="13" t="inlineStr">
        <is>
          <t>Activewear</t>
        </is>
      </c>
      <c r="F170" s="13" t="inlineStr">
        <is>
          <t>S</t>
        </is>
      </c>
      <c r="G170" s="13" t="inlineStr">
        <is>
          <t>red</t>
        </is>
      </c>
      <c r="H170" s="15" t="n">
        <v>34</v>
      </c>
      <c r="I170" s="15" t="n">
        <v>1</v>
      </c>
      <c r="J170" s="16" t="n">
        <v>1.333333333333333</v>
      </c>
      <c r="K170" s="16">
        <f>IFERROR(J170/30,0)</f>
        <v/>
      </c>
      <c r="L170" s="15" t="n">
        <v>2</v>
      </c>
      <c r="M170" s="17" t="n">
        <v>0.9333</v>
      </c>
      <c r="N170" s="15" t="n">
        <v>1</v>
      </c>
      <c r="O170" s="15" t="n">
        <v>1</v>
      </c>
      <c r="P170" s="15" t="n">
        <v>0</v>
      </c>
      <c r="Q170" s="12" t="n">
        <v>0</v>
      </c>
      <c r="R170" s="12" t="n">
        <v>0</v>
      </c>
      <c r="S170" s="15">
        <f>H170+Q170-R170</f>
        <v/>
      </c>
      <c r="T170" s="12" t="n">
        <v>14</v>
      </c>
      <c r="U170" s="12" t="n">
        <v>7</v>
      </c>
      <c r="V170" s="12" t="n">
        <v>7</v>
      </c>
      <c r="W170" s="16">
        <f>K170*(T170+U170)</f>
        <v/>
      </c>
      <c r="X170" s="16">
        <f>K170*(T170+U170+V170)</f>
        <v/>
      </c>
      <c r="Y170" s="16">
        <f>IF(K170&gt;0,H170/K170,99999)</f>
        <v/>
      </c>
      <c r="Z170" s="14">
        <f>IF(AND(OR(L170&gt;=1,M170&lt;0.95),Y170&gt;120),"DATA CONFLICT - VERIFY",IF(OR(L170&gt;=1,M170&lt;0.95,Y170&lt;=14),"SERVICE / STOCKOUT REVIEW",IF(Y170&gt;120,"OVERSTOCK REVIEW",IF(S170&lt;=W170,"REPLENISHMENT REVIEW","NORMAL MONITORING"))))</f>
        <v/>
      </c>
      <c r="AA170" s="15">
        <f>IF(OR(Z170="DATA CONFLICT - VERIFY",Z170="SERVICE / STOCKOUT REVIEW"),0,IF(S170&lt;=W170,MAX(0,ROUNDUP(X170-S170,0)),0))</f>
        <v/>
      </c>
      <c r="AB170" s="14">
        <f>IF(Z170="DATA CONFLICT - VERIFY","P1 - DATA CONFLICT",IF(Z170="SERVICE / STOCKOUT REVIEW","P1 - SERVICE",IF(Z170="OVERSTOCK REVIEW","P2 - OVERSTOCK",IF(Z170="REPLENISHMENT REVIEW","P2 - REPLENISH","P3 - MONITOR"))))</f>
        <v/>
      </c>
      <c r="AC170" s="16" t="n">
        <v>2622.890264900662</v>
      </c>
      <c r="AD170" s="16" t="n">
        <v>2491.745751655629</v>
      </c>
      <c r="AE170" s="16">
        <f>IF(OR(AD170="",H170=""),"",H170*AD170)</f>
        <v/>
      </c>
    </row>
    <row r="171">
      <c r="A171" s="7" t="inlineStr">
        <is>
          <t>2022-12-31</t>
        </is>
      </c>
      <c r="B171" s="7" t="n">
        <v>1523</v>
      </c>
      <c r="C171" s="8" t="inlineStr">
        <is>
          <t>VietMode RP-15</t>
        </is>
      </c>
      <c r="D171" s="8" t="inlineStr">
        <is>
          <t>Outdoor</t>
        </is>
      </c>
      <c r="E171" s="7" t="inlineStr">
        <is>
          <t>Activewear</t>
        </is>
      </c>
      <c r="F171" s="7" t="inlineStr">
        <is>
          <t>XL</t>
        </is>
      </c>
      <c r="G171" s="7" t="inlineStr">
        <is>
          <t>blue</t>
        </is>
      </c>
      <c r="H171" s="9" t="n">
        <v>25</v>
      </c>
      <c r="I171" s="9" t="n">
        <v>1</v>
      </c>
      <c r="J171" s="10" t="n">
        <v>1.333333333333333</v>
      </c>
      <c r="K171" s="10">
        <f>IFERROR(J171/30,0)</f>
        <v/>
      </c>
      <c r="L171" s="9" t="n">
        <v>0</v>
      </c>
      <c r="M171" s="11" t="n">
        <v>1</v>
      </c>
      <c r="N171" s="9" t="n">
        <v>0</v>
      </c>
      <c r="O171" s="9" t="n">
        <v>1</v>
      </c>
      <c r="P171" s="9" t="n">
        <v>0</v>
      </c>
      <c r="Q171" s="12" t="n">
        <v>0</v>
      </c>
      <c r="R171" s="12" t="n">
        <v>0</v>
      </c>
      <c r="S171" s="9">
        <f>H171+Q171-R171</f>
        <v/>
      </c>
      <c r="T171" s="12" t="n">
        <v>14</v>
      </c>
      <c r="U171" s="12" t="n">
        <v>7</v>
      </c>
      <c r="V171" s="12" t="n">
        <v>7</v>
      </c>
      <c r="W171" s="10">
        <f>K171*(T171+U171)</f>
        <v/>
      </c>
      <c r="X171" s="10">
        <f>K171*(T171+U171+V171)</f>
        <v/>
      </c>
      <c r="Y171" s="10">
        <f>IF(K171&gt;0,H171/K171,99999)</f>
        <v/>
      </c>
      <c r="Z171" s="8">
        <f>IF(AND(OR(L171&gt;=1,M171&lt;0.95),Y171&gt;120),"DATA CONFLICT - VERIFY",IF(OR(L171&gt;=1,M171&lt;0.95,Y171&lt;=14),"SERVICE / STOCKOUT REVIEW",IF(Y171&gt;120,"OVERSTOCK REVIEW",IF(S171&lt;=W171,"REPLENISHMENT REVIEW","NORMAL MONITORING"))))</f>
        <v/>
      </c>
      <c r="AA171" s="9">
        <f>IF(OR(Z171="DATA CONFLICT - VERIFY",Z171="SERVICE / STOCKOUT REVIEW"),0,IF(S171&lt;=W171,MAX(0,ROUNDUP(X171-S171,0)),0))</f>
        <v/>
      </c>
      <c r="AB171" s="8">
        <f>IF(Z171="DATA CONFLICT - VERIFY","P1 - DATA CONFLICT",IF(Z171="SERVICE / STOCKOUT REVIEW","P1 - SERVICE",IF(Z171="OVERSTOCK REVIEW","P2 - OVERSTOCK",IF(Z171="REPLENISHMENT REVIEW","P2 - REPLENISH","P3 - MONITOR"))))</f>
        <v/>
      </c>
      <c r="AC171" s="10" t="n">
        <v>4011.274505119454</v>
      </c>
      <c r="AD171" s="10" t="n">
        <v>3810.710779863481</v>
      </c>
      <c r="AE171" s="10">
        <f>IF(OR(AD171="",H171=""),"",H171*AD171)</f>
        <v/>
      </c>
    </row>
    <row r="172">
      <c r="A172" s="13" t="inlineStr">
        <is>
          <t>2022-12-31</t>
        </is>
      </c>
      <c r="B172" s="13" t="n">
        <v>1524</v>
      </c>
      <c r="C172" s="14" t="inlineStr">
        <is>
          <t>VietMode RP-16</t>
        </is>
      </c>
      <c r="D172" s="14" t="inlineStr">
        <is>
          <t>Outdoor</t>
        </is>
      </c>
      <c r="E172" s="13" t="inlineStr">
        <is>
          <t>Activewear</t>
        </is>
      </c>
      <c r="F172" s="13" t="inlineStr">
        <is>
          <t>S</t>
        </is>
      </c>
      <c r="G172" s="13" t="inlineStr">
        <is>
          <t>white</t>
        </is>
      </c>
      <c r="H172" s="15" t="n">
        <v>20</v>
      </c>
      <c r="I172" s="15" t="n">
        <v>1</v>
      </c>
      <c r="J172" s="16" t="n">
        <v>1.333333333333333</v>
      </c>
      <c r="K172" s="16">
        <f>IFERROR(J172/30,0)</f>
        <v/>
      </c>
      <c r="L172" s="15" t="n">
        <v>1</v>
      </c>
      <c r="M172" s="17" t="n">
        <v>0.9667</v>
      </c>
      <c r="N172" s="15" t="n">
        <v>1</v>
      </c>
      <c r="O172" s="15" t="n">
        <v>1</v>
      </c>
      <c r="P172" s="15" t="n">
        <v>0</v>
      </c>
      <c r="Q172" s="12" t="n">
        <v>0</v>
      </c>
      <c r="R172" s="12" t="n">
        <v>0</v>
      </c>
      <c r="S172" s="15">
        <f>H172+Q172-R172</f>
        <v/>
      </c>
      <c r="T172" s="12" t="n">
        <v>14</v>
      </c>
      <c r="U172" s="12" t="n">
        <v>7</v>
      </c>
      <c r="V172" s="12" t="n">
        <v>7</v>
      </c>
      <c r="W172" s="16">
        <f>K172*(T172+U172)</f>
        <v/>
      </c>
      <c r="X172" s="16">
        <f>K172*(T172+U172+V172)</f>
        <v/>
      </c>
      <c r="Y172" s="16">
        <f>IF(K172&gt;0,H172/K172,99999)</f>
        <v/>
      </c>
      <c r="Z172" s="14">
        <f>IF(AND(OR(L172&gt;=1,M172&lt;0.95),Y172&gt;120),"DATA CONFLICT - VERIFY",IF(OR(L172&gt;=1,M172&lt;0.95,Y172&lt;=14),"SERVICE / STOCKOUT REVIEW",IF(Y172&gt;120,"OVERSTOCK REVIEW",IF(S172&lt;=W172,"REPLENISHMENT REVIEW","NORMAL MONITORING"))))</f>
        <v/>
      </c>
      <c r="AA172" s="15">
        <f>IF(OR(Z172="DATA CONFLICT - VERIFY",Z172="SERVICE / STOCKOUT REVIEW"),0,IF(S172&lt;=W172,MAX(0,ROUNDUP(X172-S172,0)),0))</f>
        <v/>
      </c>
      <c r="AB172" s="14">
        <f>IF(Z172="DATA CONFLICT - VERIFY","P1 - DATA CONFLICT",IF(Z172="SERVICE / STOCKOUT REVIEW","P1 - SERVICE",IF(Z172="OVERSTOCK REVIEW","P2 - OVERSTOCK",IF(Z172="REPLENISHMENT REVIEW","P2 - REPLENISH","P3 - MONITOR"))))</f>
        <v/>
      </c>
      <c r="AC172" s="16" t="n">
        <v>4011.274505119454</v>
      </c>
      <c r="AD172" s="16" t="n">
        <v>2500.227399040956</v>
      </c>
      <c r="AE172" s="16">
        <f>IF(OR(AD172="",H172=""),"",H172*AD172)</f>
        <v/>
      </c>
    </row>
    <row r="173">
      <c r="A173" s="7" t="inlineStr">
        <is>
          <t>2022-12-31</t>
        </is>
      </c>
      <c r="B173" s="7" t="n">
        <v>1531</v>
      </c>
      <c r="C173" s="8" t="inlineStr">
        <is>
          <t>VietMode RP-23</t>
        </is>
      </c>
      <c r="D173" s="8" t="inlineStr">
        <is>
          <t>Outdoor</t>
        </is>
      </c>
      <c r="E173" s="7" t="inlineStr">
        <is>
          <t>Activewear</t>
        </is>
      </c>
      <c r="F173" s="7" t="inlineStr">
        <is>
          <t>XL</t>
        </is>
      </c>
      <c r="G173" s="7" t="inlineStr">
        <is>
          <t>black</t>
        </is>
      </c>
      <c r="H173" s="9" t="n">
        <v>107</v>
      </c>
      <c r="I173" s="9" t="n">
        <v>3</v>
      </c>
      <c r="J173" s="10" t="n">
        <v>2.333333333333333</v>
      </c>
      <c r="K173" s="10">
        <f>IFERROR(J173/30,0)</f>
        <v/>
      </c>
      <c r="L173" s="9" t="n">
        <v>1</v>
      </c>
      <c r="M173" s="11" t="n">
        <v>0.9667</v>
      </c>
      <c r="N173" s="9" t="n">
        <v>1</v>
      </c>
      <c r="O173" s="9" t="n">
        <v>1</v>
      </c>
      <c r="P173" s="9" t="n">
        <v>0</v>
      </c>
      <c r="Q173" s="12" t="n">
        <v>0</v>
      </c>
      <c r="R173" s="12" t="n">
        <v>0</v>
      </c>
      <c r="S173" s="9">
        <f>H173+Q173-R173</f>
        <v/>
      </c>
      <c r="T173" s="12" t="n">
        <v>14</v>
      </c>
      <c r="U173" s="12" t="n">
        <v>7</v>
      </c>
      <c r="V173" s="12" t="n">
        <v>7</v>
      </c>
      <c r="W173" s="10">
        <f>K173*(T173+U173)</f>
        <v/>
      </c>
      <c r="X173" s="10">
        <f>K173*(T173+U173+V173)</f>
        <v/>
      </c>
      <c r="Y173" s="10">
        <f>IF(K173&gt;0,H173/K173,99999)</f>
        <v/>
      </c>
      <c r="Z173" s="8">
        <f>IF(AND(OR(L173&gt;=1,M173&lt;0.95),Y173&gt;120),"DATA CONFLICT - VERIFY",IF(OR(L173&gt;=1,M173&lt;0.95,Y173&lt;=14),"SERVICE / STOCKOUT REVIEW",IF(Y173&gt;120,"OVERSTOCK REVIEW",IF(S173&lt;=W173,"REPLENISHMENT REVIEW","NORMAL MONITORING"))))</f>
        <v/>
      </c>
      <c r="AA173" s="9">
        <f>IF(OR(Z173="DATA CONFLICT - VERIFY",Z173="SERVICE / STOCKOUT REVIEW"),0,IF(S173&lt;=W173,MAX(0,ROUNDUP(X173-S173,0)),0))</f>
        <v/>
      </c>
      <c r="AB173" s="8">
        <f>IF(Z173="DATA CONFLICT - VERIFY","P1 - DATA CONFLICT",IF(Z173="SERVICE / STOCKOUT REVIEW","P1 - SERVICE",IF(Z173="OVERSTOCK REVIEW","P2 - OVERSTOCK",IF(Z173="REPLENISHMENT REVIEW","P2 - REPLENISH","P3 - MONITOR"))))</f>
        <v/>
      </c>
      <c r="AC173" s="10" t="n">
        <v>5354.37</v>
      </c>
      <c r="AD173" s="10" t="n">
        <v>2882.257371</v>
      </c>
      <c r="AE173" s="10">
        <f>IF(OR(AD173="",H173=""),"",H173*AD173)</f>
        <v/>
      </c>
    </row>
    <row r="174">
      <c r="A174" s="13" t="inlineStr">
        <is>
          <t>2022-12-31</t>
        </is>
      </c>
      <c r="B174" s="13" t="n">
        <v>1532</v>
      </c>
      <c r="C174" s="14" t="inlineStr">
        <is>
          <t>VietMode RP-24</t>
        </is>
      </c>
      <c r="D174" s="14" t="inlineStr">
        <is>
          <t>Outdoor</t>
        </is>
      </c>
      <c r="E174" s="13" t="inlineStr">
        <is>
          <t>Activewear</t>
        </is>
      </c>
      <c r="F174" s="13" t="inlineStr">
        <is>
          <t>S</t>
        </is>
      </c>
      <c r="G174" s="13" t="inlineStr">
        <is>
          <t>orange</t>
        </is>
      </c>
      <c r="H174" s="15" t="n">
        <v>107</v>
      </c>
      <c r="I174" s="15" t="n">
        <v>3</v>
      </c>
      <c r="J174" s="16" t="n">
        <v>2.333333333333333</v>
      </c>
      <c r="K174" s="16">
        <f>IFERROR(J174/30,0)</f>
        <v/>
      </c>
      <c r="L174" s="15" t="n">
        <v>2</v>
      </c>
      <c r="M174" s="17" t="n">
        <v>0.9333</v>
      </c>
      <c r="N174" s="15" t="n">
        <v>1</v>
      </c>
      <c r="O174" s="15" t="n">
        <v>1</v>
      </c>
      <c r="P174" s="15" t="n">
        <v>0</v>
      </c>
      <c r="Q174" s="12" t="n">
        <v>0</v>
      </c>
      <c r="R174" s="12" t="n">
        <v>0</v>
      </c>
      <c r="S174" s="15">
        <f>H174+Q174-R174</f>
        <v/>
      </c>
      <c r="T174" s="12" t="n">
        <v>14</v>
      </c>
      <c r="U174" s="12" t="n">
        <v>7</v>
      </c>
      <c r="V174" s="12" t="n">
        <v>7</v>
      </c>
      <c r="W174" s="16">
        <f>K174*(T174+U174)</f>
        <v/>
      </c>
      <c r="X174" s="16">
        <f>K174*(T174+U174+V174)</f>
        <v/>
      </c>
      <c r="Y174" s="16">
        <f>IF(K174&gt;0,H174/K174,99999)</f>
        <v/>
      </c>
      <c r="Z174" s="14">
        <f>IF(AND(OR(L174&gt;=1,M174&lt;0.95),Y174&gt;120),"DATA CONFLICT - VERIFY",IF(OR(L174&gt;=1,M174&lt;0.95,Y174&lt;=14),"SERVICE / STOCKOUT REVIEW",IF(Y174&gt;120,"OVERSTOCK REVIEW",IF(S174&lt;=W174,"REPLENISHMENT REVIEW","NORMAL MONITORING"))))</f>
        <v/>
      </c>
      <c r="AA174" s="15">
        <f>IF(OR(Z174="DATA CONFLICT - VERIFY",Z174="SERVICE / STOCKOUT REVIEW"),0,IF(S174&lt;=W174,MAX(0,ROUNDUP(X174-S174,0)),0))</f>
        <v/>
      </c>
      <c r="AB174" s="14">
        <f>IF(Z174="DATA CONFLICT - VERIFY","P1 - DATA CONFLICT",IF(Z174="SERVICE / STOCKOUT REVIEW","P1 - SERVICE",IF(Z174="OVERSTOCK REVIEW","P2 - OVERSTOCK",IF(Z174="REPLENISHMENT REVIEW","P2 - REPLENISH","P3 - MONITOR"))))</f>
        <v/>
      </c>
      <c r="AC174" s="16" t="n">
        <v>5354.37</v>
      </c>
      <c r="AD174" s="16" t="n">
        <v>5086.6515</v>
      </c>
      <c r="AE174" s="16">
        <f>IF(OR(AD174="",H174=""),"",H174*AD174)</f>
        <v/>
      </c>
    </row>
    <row r="175">
      <c r="A175" s="7" t="inlineStr">
        <is>
          <t>2022-12-31</t>
        </is>
      </c>
      <c r="B175" s="7" t="n">
        <v>1559</v>
      </c>
      <c r="C175" s="8" t="inlineStr">
        <is>
          <t>VietMode RP-51</t>
        </is>
      </c>
      <c r="D175" s="8" t="inlineStr">
        <is>
          <t>Outdoor</t>
        </is>
      </c>
      <c r="E175" s="7" t="inlineStr">
        <is>
          <t>Activewear</t>
        </is>
      </c>
      <c r="F175" s="7" t="inlineStr">
        <is>
          <t>XL</t>
        </is>
      </c>
      <c r="G175" s="7" t="inlineStr">
        <is>
          <t>yellow</t>
        </is>
      </c>
      <c r="H175" s="9" t="n">
        <v>3</v>
      </c>
      <c r="I175" s="9" t="n">
        <v>1</v>
      </c>
      <c r="J175" s="10" t="n">
        <v>1.666666666666667</v>
      </c>
      <c r="K175" s="10">
        <f>IFERROR(J175/30,0)</f>
        <v/>
      </c>
      <c r="L175" s="9" t="n">
        <v>1</v>
      </c>
      <c r="M175" s="11" t="n">
        <v>0.9667</v>
      </c>
      <c r="N175" s="9" t="n">
        <v>1</v>
      </c>
      <c r="O175" s="9" t="n">
        <v>0</v>
      </c>
      <c r="P175" s="9" t="n">
        <v>0</v>
      </c>
      <c r="Q175" s="12" t="n">
        <v>0</v>
      </c>
      <c r="R175" s="12" t="n">
        <v>0</v>
      </c>
      <c r="S175" s="9">
        <f>H175+Q175-R175</f>
        <v/>
      </c>
      <c r="T175" s="12" t="n">
        <v>14</v>
      </c>
      <c r="U175" s="12" t="n">
        <v>7</v>
      </c>
      <c r="V175" s="12" t="n">
        <v>7</v>
      </c>
      <c r="W175" s="10">
        <f>K175*(T175+U175)</f>
        <v/>
      </c>
      <c r="X175" s="10">
        <f>K175*(T175+U175+V175)</f>
        <v/>
      </c>
      <c r="Y175" s="10">
        <f>IF(K175&gt;0,H175/K175,99999)</f>
        <v/>
      </c>
      <c r="Z175" s="8">
        <f>IF(AND(OR(L175&gt;=1,M175&lt;0.95),Y175&gt;120),"DATA CONFLICT - VERIFY",IF(OR(L175&gt;=1,M175&lt;0.95,Y175&lt;=14),"SERVICE / STOCKOUT REVIEW",IF(Y175&gt;120,"OVERSTOCK REVIEW",IF(S175&lt;=W175,"REPLENISHMENT REVIEW","NORMAL MONITORING"))))</f>
        <v/>
      </c>
      <c r="AA175" s="9">
        <f>IF(OR(Z175="DATA CONFLICT - VERIFY",Z175="SERVICE / STOCKOUT REVIEW"),0,IF(S175&lt;=W175,MAX(0,ROUNDUP(X175-S175,0)),0))</f>
        <v/>
      </c>
      <c r="AB175" s="8">
        <f>IF(Z175="DATA CONFLICT - VERIFY","P1 - DATA CONFLICT",IF(Z175="SERVICE / STOCKOUT REVIEW","P1 - SERVICE",IF(Z175="OVERSTOCK REVIEW","P2 - OVERSTOCK",IF(Z175="REPLENISHMENT REVIEW","P2 - REPLENISH","P3 - MONITOR"))))</f>
        <v/>
      </c>
      <c r="AC175" s="10" t="n">
        <v>4556.323333333333</v>
      </c>
      <c r="AD175" s="10" t="n">
        <v>4328.507166666666</v>
      </c>
      <c r="AE175" s="10">
        <f>IF(OR(AD175="",H175=""),"",H175*AD175)</f>
        <v/>
      </c>
    </row>
    <row r="176">
      <c r="A176" s="13" t="inlineStr">
        <is>
          <t>2022-12-31</t>
        </is>
      </c>
      <c r="B176" s="13" t="n">
        <v>1560</v>
      </c>
      <c r="C176" s="14" t="inlineStr">
        <is>
          <t>VietMode RP-52</t>
        </is>
      </c>
      <c r="D176" s="14" t="inlineStr">
        <is>
          <t>Outdoor</t>
        </is>
      </c>
      <c r="E176" s="13" t="inlineStr">
        <is>
          <t>Activewear</t>
        </is>
      </c>
      <c r="F176" s="13" t="inlineStr">
        <is>
          <t>S</t>
        </is>
      </c>
      <c r="G176" s="13" t="inlineStr">
        <is>
          <t>red</t>
        </is>
      </c>
      <c r="H176" s="15" t="n">
        <v>3</v>
      </c>
      <c r="I176" s="15" t="n">
        <v>1</v>
      </c>
      <c r="J176" s="16" t="n">
        <v>1.666666666666667</v>
      </c>
      <c r="K176" s="16">
        <f>IFERROR(J176/30,0)</f>
        <v/>
      </c>
      <c r="L176" s="15" t="n">
        <v>1</v>
      </c>
      <c r="M176" s="17" t="n">
        <v>0.9667</v>
      </c>
      <c r="N176" s="15" t="n">
        <v>1</v>
      </c>
      <c r="O176" s="15" t="n">
        <v>0</v>
      </c>
      <c r="P176" s="15" t="n">
        <v>0</v>
      </c>
      <c r="Q176" s="12" t="n">
        <v>0</v>
      </c>
      <c r="R176" s="12" t="n">
        <v>0</v>
      </c>
      <c r="S176" s="15">
        <f>H176+Q176-R176</f>
        <v/>
      </c>
      <c r="T176" s="12" t="n">
        <v>14</v>
      </c>
      <c r="U176" s="12" t="n">
        <v>7</v>
      </c>
      <c r="V176" s="12" t="n">
        <v>7</v>
      </c>
      <c r="W176" s="16">
        <f>K176*(T176+U176)</f>
        <v/>
      </c>
      <c r="X176" s="16">
        <f>K176*(T176+U176+V176)</f>
        <v/>
      </c>
      <c r="Y176" s="16">
        <f>IF(K176&gt;0,H176/K176,99999)</f>
        <v/>
      </c>
      <c r="Z176" s="14">
        <f>IF(AND(OR(L176&gt;=1,M176&lt;0.95),Y176&gt;120),"DATA CONFLICT - VERIFY",IF(OR(L176&gt;=1,M176&lt;0.95,Y176&lt;=14),"SERVICE / STOCKOUT REVIEW",IF(Y176&gt;120,"OVERSTOCK REVIEW",IF(S176&lt;=W176,"REPLENISHMENT REVIEW","NORMAL MONITORING"))))</f>
        <v/>
      </c>
      <c r="AA176" s="15">
        <f>IF(OR(Z176="DATA CONFLICT - VERIFY",Z176="SERVICE / STOCKOUT REVIEW"),0,IF(S176&lt;=W176,MAX(0,ROUNDUP(X176-S176,0)),0))</f>
        <v/>
      </c>
      <c r="AB176" s="14">
        <f>IF(Z176="DATA CONFLICT - VERIFY","P1 - DATA CONFLICT",IF(Z176="SERVICE / STOCKOUT REVIEW","P1 - SERVICE",IF(Z176="OVERSTOCK REVIEW","P2 - OVERSTOCK",IF(Z176="REPLENISHMENT REVIEW","P2 - REPLENISH","P3 - MONITOR"))))</f>
        <v/>
      </c>
      <c r="AC176" s="16" t="n">
        <v>4556.323333333333</v>
      </c>
      <c r="AD176" s="16" t="n">
        <v>3423.165720333333</v>
      </c>
      <c r="AE176" s="16">
        <f>IF(OR(AD176="",H176=""),"",H176*AD176)</f>
        <v/>
      </c>
    </row>
    <row r="177">
      <c r="A177" s="7" t="inlineStr">
        <is>
          <t>2022-12-31</t>
        </is>
      </c>
      <c r="B177" s="7" t="n">
        <v>1561</v>
      </c>
      <c r="C177" s="8" t="inlineStr">
        <is>
          <t>VietMode RP-53</t>
        </is>
      </c>
      <c r="D177" s="8" t="inlineStr">
        <is>
          <t>Outdoor</t>
        </is>
      </c>
      <c r="E177" s="7" t="inlineStr">
        <is>
          <t>Activewear</t>
        </is>
      </c>
      <c r="F177" s="7" t="inlineStr">
        <is>
          <t>M</t>
        </is>
      </c>
      <c r="G177" s="7" t="inlineStr">
        <is>
          <t>black</t>
        </is>
      </c>
      <c r="H177" s="9" t="n">
        <v>3</v>
      </c>
      <c r="I177" s="9" t="n">
        <v>2</v>
      </c>
      <c r="J177" s="10" t="n">
        <v>1.666666666666667</v>
      </c>
      <c r="K177" s="10">
        <f>IFERROR(J177/30,0)</f>
        <v/>
      </c>
      <c r="L177" s="9" t="n">
        <v>0</v>
      </c>
      <c r="M177" s="11" t="n">
        <v>1</v>
      </c>
      <c r="N177" s="9" t="n">
        <v>0</v>
      </c>
      <c r="O177" s="9" t="n">
        <v>0</v>
      </c>
      <c r="P177" s="9" t="n">
        <v>0</v>
      </c>
      <c r="Q177" s="12" t="n">
        <v>0</v>
      </c>
      <c r="R177" s="12" t="n">
        <v>0</v>
      </c>
      <c r="S177" s="9">
        <f>H177+Q177-R177</f>
        <v/>
      </c>
      <c r="T177" s="12" t="n">
        <v>14</v>
      </c>
      <c r="U177" s="12" t="n">
        <v>7</v>
      </c>
      <c r="V177" s="12" t="n">
        <v>7</v>
      </c>
      <c r="W177" s="10">
        <f>K177*(T177+U177)</f>
        <v/>
      </c>
      <c r="X177" s="10">
        <f>K177*(T177+U177+V177)</f>
        <v/>
      </c>
      <c r="Y177" s="10">
        <f>IF(K177&gt;0,H177/K177,99999)</f>
        <v/>
      </c>
      <c r="Z177" s="8">
        <f>IF(AND(OR(L177&gt;=1,M177&lt;0.95),Y177&gt;120),"DATA CONFLICT - VERIFY",IF(OR(L177&gt;=1,M177&lt;0.95,Y177&lt;=14),"SERVICE / STOCKOUT REVIEW",IF(Y177&gt;120,"OVERSTOCK REVIEW",IF(S177&lt;=W177,"REPLENISHMENT REVIEW","NORMAL MONITORING"))))</f>
        <v/>
      </c>
      <c r="AA177" s="9">
        <f>IF(OR(Z177="DATA CONFLICT - VERIFY",Z177="SERVICE / STOCKOUT REVIEW"),0,IF(S177&lt;=W177,MAX(0,ROUNDUP(X177-S177,0)),0))</f>
        <v/>
      </c>
      <c r="AB177" s="8">
        <f>IF(Z177="DATA CONFLICT - VERIFY","P1 - DATA CONFLICT",IF(Z177="SERVICE / STOCKOUT REVIEW","P1 - SERVICE",IF(Z177="OVERSTOCK REVIEW","P2 - OVERSTOCK",IF(Z177="REPLENISHMENT REVIEW","P2 - REPLENISH","P3 - MONITOR"))))</f>
        <v/>
      </c>
      <c r="AC177" s="10" t="n">
        <v>4970.07</v>
      </c>
      <c r="AD177" s="10" t="n">
        <v>4721.5665</v>
      </c>
      <c r="AE177" s="10">
        <f>IF(OR(AD177="",H177=""),"",H177*AD177)</f>
        <v/>
      </c>
    </row>
    <row r="178">
      <c r="A178" s="13" t="inlineStr">
        <is>
          <t>2022-12-31</t>
        </is>
      </c>
      <c r="B178" s="13" t="n">
        <v>1562</v>
      </c>
      <c r="C178" s="14" t="inlineStr">
        <is>
          <t>VietMode RP-54</t>
        </is>
      </c>
      <c r="D178" s="14" t="inlineStr">
        <is>
          <t>Outdoor</t>
        </is>
      </c>
      <c r="E178" s="13" t="inlineStr">
        <is>
          <t>Activewear</t>
        </is>
      </c>
      <c r="F178" s="13" t="inlineStr">
        <is>
          <t>L</t>
        </is>
      </c>
      <c r="G178" s="13" t="inlineStr">
        <is>
          <t>orange</t>
        </is>
      </c>
      <c r="H178" s="15" t="n">
        <v>3</v>
      </c>
      <c r="I178" s="15" t="n">
        <v>2</v>
      </c>
      <c r="J178" s="16" t="n">
        <v>1.666666666666667</v>
      </c>
      <c r="K178" s="16">
        <f>IFERROR(J178/30,0)</f>
        <v/>
      </c>
      <c r="L178" s="15" t="n">
        <v>2</v>
      </c>
      <c r="M178" s="17" t="n">
        <v>0.9333</v>
      </c>
      <c r="N178" s="15" t="n">
        <v>1</v>
      </c>
      <c r="O178" s="15" t="n">
        <v>0</v>
      </c>
      <c r="P178" s="15" t="n">
        <v>0</v>
      </c>
      <c r="Q178" s="12" t="n">
        <v>0</v>
      </c>
      <c r="R178" s="12" t="n">
        <v>0</v>
      </c>
      <c r="S178" s="15">
        <f>H178+Q178-R178</f>
        <v/>
      </c>
      <c r="T178" s="12" t="n">
        <v>14</v>
      </c>
      <c r="U178" s="12" t="n">
        <v>7</v>
      </c>
      <c r="V178" s="12" t="n">
        <v>7</v>
      </c>
      <c r="W178" s="16">
        <f>K178*(T178+U178)</f>
        <v/>
      </c>
      <c r="X178" s="16">
        <f>K178*(T178+U178+V178)</f>
        <v/>
      </c>
      <c r="Y178" s="16">
        <f>IF(K178&gt;0,H178/K178,99999)</f>
        <v/>
      </c>
      <c r="Z178" s="14">
        <f>IF(AND(OR(L178&gt;=1,M178&lt;0.95),Y178&gt;120),"DATA CONFLICT - VERIFY",IF(OR(L178&gt;=1,M178&lt;0.95,Y178&lt;=14),"SERVICE / STOCKOUT REVIEW",IF(Y178&gt;120,"OVERSTOCK REVIEW",IF(S178&lt;=W178,"REPLENISHMENT REVIEW","NORMAL MONITORING"))))</f>
        <v/>
      </c>
      <c r="AA178" s="15">
        <f>IF(OR(Z178="DATA CONFLICT - VERIFY",Z178="SERVICE / STOCKOUT REVIEW"),0,IF(S178&lt;=W178,MAX(0,ROUNDUP(X178-S178,0)),0))</f>
        <v/>
      </c>
      <c r="AB178" s="14">
        <f>IF(Z178="DATA CONFLICT - VERIFY","P1 - DATA CONFLICT",IF(Z178="SERVICE / STOCKOUT REVIEW","P1 - SERVICE",IF(Z178="OVERSTOCK REVIEW","P2 - OVERSTOCK",IF(Z178="REPLENISHMENT REVIEW","P2 - REPLENISH","P3 - MONITOR"))))</f>
        <v/>
      </c>
      <c r="AC178" s="16" t="n">
        <v>4970.07</v>
      </c>
      <c r="AD178" s="16" t="n">
        <v>2879.658558000001</v>
      </c>
      <c r="AE178" s="16">
        <f>IF(OR(AD178="",H178=""),"",H178*AD178)</f>
        <v/>
      </c>
    </row>
    <row r="179">
      <c r="A179" s="7" t="inlineStr">
        <is>
          <t>2022-12-31</t>
        </is>
      </c>
      <c r="B179" s="7" t="n">
        <v>1566</v>
      </c>
      <c r="C179" s="8" t="inlineStr">
        <is>
          <t>VietMode RS-04</t>
        </is>
      </c>
      <c r="D179" s="8" t="inlineStr">
        <is>
          <t>Outdoor</t>
        </is>
      </c>
      <c r="E179" s="7" t="inlineStr">
        <is>
          <t>Premium</t>
        </is>
      </c>
      <c r="F179" s="7" t="inlineStr">
        <is>
          <t>L</t>
        </is>
      </c>
      <c r="G179" s="7" t="inlineStr">
        <is>
          <t>green</t>
        </is>
      </c>
      <c r="H179" s="9" t="n">
        <v>16</v>
      </c>
      <c r="I179" s="9" t="n">
        <v>5</v>
      </c>
      <c r="J179" s="10" t="n">
        <v>5.666666666666667</v>
      </c>
      <c r="K179" s="10">
        <f>IFERROR(J179/30,0)</f>
        <v/>
      </c>
      <c r="L179" s="9" t="n">
        <v>0</v>
      </c>
      <c r="M179" s="11" t="n">
        <v>1</v>
      </c>
      <c r="N179" s="9" t="n">
        <v>0</v>
      </c>
      <c r="O179" s="9" t="n">
        <v>1</v>
      </c>
      <c r="P179" s="9" t="n">
        <v>0</v>
      </c>
      <c r="Q179" s="12" t="n">
        <v>0</v>
      </c>
      <c r="R179" s="12" t="n">
        <v>0</v>
      </c>
      <c r="S179" s="9">
        <f>H179+Q179-R179</f>
        <v/>
      </c>
      <c r="T179" s="12" t="n">
        <v>14</v>
      </c>
      <c r="U179" s="12" t="n">
        <v>7</v>
      </c>
      <c r="V179" s="12" t="n">
        <v>7</v>
      </c>
      <c r="W179" s="10">
        <f>K179*(T179+U179)</f>
        <v/>
      </c>
      <c r="X179" s="10">
        <f>K179*(T179+U179+V179)</f>
        <v/>
      </c>
      <c r="Y179" s="10">
        <f>IF(K179&gt;0,H179/K179,99999)</f>
        <v/>
      </c>
      <c r="Z179" s="8">
        <f>IF(AND(OR(L179&gt;=1,M179&lt;0.95),Y179&gt;120),"DATA CONFLICT - VERIFY",IF(OR(L179&gt;=1,M179&lt;0.95,Y179&lt;=14),"SERVICE / STOCKOUT REVIEW",IF(Y179&gt;120,"OVERSTOCK REVIEW",IF(S179&lt;=W179,"REPLENISHMENT REVIEW","NORMAL MONITORING"))))</f>
        <v/>
      </c>
      <c r="AA179" s="9">
        <f>IF(OR(Z179="DATA CONFLICT - VERIFY",Z179="SERVICE / STOCKOUT REVIEW"),0,IF(S179&lt;=W179,MAX(0,ROUNDUP(X179-S179,0)),0))</f>
        <v/>
      </c>
      <c r="AB179" s="8">
        <f>IF(Z179="DATA CONFLICT - VERIFY","P1 - DATA CONFLICT",IF(Z179="SERVICE / STOCKOUT REVIEW","P1 - SERVICE",IF(Z179="OVERSTOCK REVIEW","P2 - OVERSTOCK",IF(Z179="REPLENISHMENT REVIEW","P2 - REPLENISH","P3 - MONITOR"))))</f>
        <v/>
      </c>
      <c r="AC179" s="10" t="n">
        <v>4467.96</v>
      </c>
      <c r="AD179" s="10" t="n">
        <v>3904.103448</v>
      </c>
      <c r="AE179" s="10">
        <f>IF(OR(AD179="",H179=""),"",H179*AD179)</f>
        <v/>
      </c>
    </row>
    <row r="180">
      <c r="A180" s="13" t="inlineStr">
        <is>
          <t>2022-12-31</t>
        </is>
      </c>
      <c r="B180" s="13" t="n">
        <v>1567</v>
      </c>
      <c r="C180" s="14" t="inlineStr">
        <is>
          <t>VietMode RS-05</t>
        </is>
      </c>
      <c r="D180" s="14" t="inlineStr">
        <is>
          <t>Outdoor</t>
        </is>
      </c>
      <c r="E180" s="13" t="inlineStr">
        <is>
          <t>Premium</t>
        </is>
      </c>
      <c r="F180" s="13" t="inlineStr">
        <is>
          <t>XL</t>
        </is>
      </c>
      <c r="G180" s="13" t="inlineStr">
        <is>
          <t>silver</t>
        </is>
      </c>
      <c r="H180" s="15" t="n">
        <v>6</v>
      </c>
      <c r="I180" s="15" t="n">
        <v>9</v>
      </c>
      <c r="J180" s="16" t="n">
        <v>5</v>
      </c>
      <c r="K180" s="16">
        <f>IFERROR(J180/30,0)</f>
        <v/>
      </c>
      <c r="L180" s="15" t="n">
        <v>5</v>
      </c>
      <c r="M180" s="17" t="n">
        <v>0.8333</v>
      </c>
      <c r="N180" s="15" t="n">
        <v>1</v>
      </c>
      <c r="O180" s="15" t="n">
        <v>0</v>
      </c>
      <c r="P180" s="15" t="n">
        <v>0</v>
      </c>
      <c r="Q180" s="12" t="n">
        <v>0</v>
      </c>
      <c r="R180" s="12" t="n">
        <v>0</v>
      </c>
      <c r="S180" s="15">
        <f>H180+Q180-R180</f>
        <v/>
      </c>
      <c r="T180" s="12" t="n">
        <v>14</v>
      </c>
      <c r="U180" s="12" t="n">
        <v>7</v>
      </c>
      <c r="V180" s="12" t="n">
        <v>7</v>
      </c>
      <c r="W180" s="16">
        <f>K180*(T180+U180)</f>
        <v/>
      </c>
      <c r="X180" s="16">
        <f>K180*(T180+U180+V180)</f>
        <v/>
      </c>
      <c r="Y180" s="16">
        <f>IF(K180&gt;0,H180/K180,99999)</f>
        <v/>
      </c>
      <c r="Z180" s="14">
        <f>IF(AND(OR(L180&gt;=1,M180&lt;0.95),Y180&gt;120),"DATA CONFLICT - VERIFY",IF(OR(L180&gt;=1,M180&lt;0.95,Y180&lt;=14),"SERVICE / STOCKOUT REVIEW",IF(Y180&gt;120,"OVERSTOCK REVIEW",IF(S180&lt;=W180,"REPLENISHMENT REVIEW","NORMAL MONITORING"))))</f>
        <v/>
      </c>
      <c r="AA180" s="15">
        <f>IF(OR(Z180="DATA CONFLICT - VERIFY",Z180="SERVICE / STOCKOUT REVIEW"),0,IF(S180&lt;=W180,MAX(0,ROUNDUP(X180-S180,0)),0))</f>
        <v/>
      </c>
      <c r="AB180" s="14">
        <f>IF(Z180="DATA CONFLICT - VERIFY","P1 - DATA CONFLICT",IF(Z180="SERVICE / STOCKOUT REVIEW","P1 - SERVICE",IF(Z180="OVERSTOCK REVIEW","P2 - OVERSTOCK",IF(Z180="REPLENISHMENT REVIEW","P2 - REPLENISH","P3 - MONITOR"))))</f>
        <v/>
      </c>
      <c r="AC180" s="16" t="n">
        <v>4999.05</v>
      </c>
      <c r="AD180" s="16" t="n">
        <v>4046.23107</v>
      </c>
      <c r="AE180" s="16">
        <f>IF(OR(AD180="",H180=""),"",H180*AD180)</f>
        <v/>
      </c>
    </row>
    <row r="181">
      <c r="A181" s="7" t="inlineStr">
        <is>
          <t>2022-12-31</t>
        </is>
      </c>
      <c r="B181" s="7" t="n">
        <v>1568</v>
      </c>
      <c r="C181" s="8" t="inlineStr">
        <is>
          <t>VietMode RS-06</t>
        </is>
      </c>
      <c r="D181" s="8" t="inlineStr">
        <is>
          <t>Outdoor</t>
        </is>
      </c>
      <c r="E181" s="7" t="inlineStr">
        <is>
          <t>Premium</t>
        </is>
      </c>
      <c r="F181" s="7" t="inlineStr">
        <is>
          <t>S</t>
        </is>
      </c>
      <c r="G181" s="7" t="inlineStr">
        <is>
          <t>pink</t>
        </is>
      </c>
      <c r="H181" s="9" t="n">
        <v>8</v>
      </c>
      <c r="I181" s="9" t="n">
        <v>1</v>
      </c>
      <c r="J181" s="10" t="n">
        <v>1.333333333333333</v>
      </c>
      <c r="K181" s="10">
        <f>IFERROR(J181/30,0)</f>
        <v/>
      </c>
      <c r="L181" s="9" t="n">
        <v>2</v>
      </c>
      <c r="M181" s="11" t="n">
        <v>0.9333</v>
      </c>
      <c r="N181" s="9" t="n">
        <v>1</v>
      </c>
      <c r="O181" s="9" t="n">
        <v>1</v>
      </c>
      <c r="P181" s="9" t="n">
        <v>0</v>
      </c>
      <c r="Q181" s="12" t="n">
        <v>0</v>
      </c>
      <c r="R181" s="12" t="n">
        <v>0</v>
      </c>
      <c r="S181" s="9">
        <f>H181+Q181-R181</f>
        <v/>
      </c>
      <c r="T181" s="12" t="n">
        <v>14</v>
      </c>
      <c r="U181" s="12" t="n">
        <v>7</v>
      </c>
      <c r="V181" s="12" t="n">
        <v>7</v>
      </c>
      <c r="W181" s="10">
        <f>K181*(T181+U181)</f>
        <v/>
      </c>
      <c r="X181" s="10">
        <f>K181*(T181+U181+V181)</f>
        <v/>
      </c>
      <c r="Y181" s="10">
        <f>IF(K181&gt;0,H181/K181,99999)</f>
        <v/>
      </c>
      <c r="Z181" s="8">
        <f>IF(AND(OR(L181&gt;=1,M181&lt;0.95),Y181&gt;120),"DATA CONFLICT - VERIFY",IF(OR(L181&gt;=1,M181&lt;0.95,Y181&lt;=14),"SERVICE / STOCKOUT REVIEW",IF(Y181&gt;120,"OVERSTOCK REVIEW",IF(S181&lt;=W181,"REPLENISHMENT REVIEW","NORMAL MONITORING"))))</f>
        <v/>
      </c>
      <c r="AA181" s="9">
        <f>IF(OR(Z181="DATA CONFLICT - VERIFY",Z181="SERVICE / STOCKOUT REVIEW"),0,IF(S181&lt;=W181,MAX(0,ROUNDUP(X181-S181,0)),0))</f>
        <v/>
      </c>
      <c r="AB181" s="8">
        <f>IF(Z181="DATA CONFLICT - VERIFY","P1 - DATA CONFLICT",IF(Z181="SERVICE / STOCKOUT REVIEW","P1 - SERVICE",IF(Z181="OVERSTOCK REVIEW","P2 - OVERSTOCK",IF(Z181="REPLENISHMENT REVIEW","P2 - REPLENISH","P3 - MONITOR"))))</f>
        <v/>
      </c>
      <c r="AC181" s="10" t="n">
        <v>5303.07</v>
      </c>
      <c r="AD181" s="10" t="n">
        <v>3703.664088</v>
      </c>
      <c r="AE181" s="10">
        <f>IF(OR(AD181="",H181=""),"",H181*AD181)</f>
        <v/>
      </c>
    </row>
    <row r="182">
      <c r="A182" s="13" t="inlineStr">
        <is>
          <t>2022-12-31</t>
        </is>
      </c>
      <c r="B182" s="13" t="n">
        <v>1575</v>
      </c>
      <c r="C182" s="14" t="inlineStr">
        <is>
          <t>VietMode RS-13</t>
        </is>
      </c>
      <c r="D182" s="14" t="inlineStr">
        <is>
          <t>Outdoor</t>
        </is>
      </c>
      <c r="E182" s="13" t="inlineStr">
        <is>
          <t>Premium</t>
        </is>
      </c>
      <c r="F182" s="13" t="inlineStr">
        <is>
          <t>XL</t>
        </is>
      </c>
      <c r="G182" s="13" t="inlineStr">
        <is>
          <t>purple</t>
        </is>
      </c>
      <c r="H182" s="15" t="n">
        <v>21</v>
      </c>
      <c r="I182" s="15" t="n">
        <v>7</v>
      </c>
      <c r="J182" s="16" t="n">
        <v>7</v>
      </c>
      <c r="K182" s="16">
        <f>IFERROR(J182/30,0)</f>
        <v/>
      </c>
      <c r="L182" s="15" t="n">
        <v>0</v>
      </c>
      <c r="M182" s="17" t="n">
        <v>1</v>
      </c>
      <c r="N182" s="15" t="n">
        <v>0</v>
      </c>
      <c r="O182" s="15" t="n">
        <v>0</v>
      </c>
      <c r="P182" s="15" t="n">
        <v>0</v>
      </c>
      <c r="Q182" s="12" t="n">
        <v>0</v>
      </c>
      <c r="R182" s="12" t="n">
        <v>0</v>
      </c>
      <c r="S182" s="15">
        <f>H182+Q182-R182</f>
        <v/>
      </c>
      <c r="T182" s="12" t="n">
        <v>14</v>
      </c>
      <c r="U182" s="12" t="n">
        <v>7</v>
      </c>
      <c r="V182" s="12" t="n">
        <v>7</v>
      </c>
      <c r="W182" s="16">
        <f>K182*(T182+U182)</f>
        <v/>
      </c>
      <c r="X182" s="16">
        <f>K182*(T182+U182+V182)</f>
        <v/>
      </c>
      <c r="Y182" s="16">
        <f>IF(K182&gt;0,H182/K182,99999)</f>
        <v/>
      </c>
      <c r="Z182" s="14">
        <f>IF(AND(OR(L182&gt;=1,M182&lt;0.95),Y182&gt;120),"DATA CONFLICT - VERIFY",IF(OR(L182&gt;=1,M182&lt;0.95,Y182&lt;=14),"SERVICE / STOCKOUT REVIEW",IF(Y182&gt;120,"OVERSTOCK REVIEW",IF(S182&lt;=W182,"REPLENISHMENT REVIEW","NORMAL MONITORING"))))</f>
        <v/>
      </c>
      <c r="AA182" s="15">
        <f>IF(OR(Z182="DATA CONFLICT - VERIFY",Z182="SERVICE / STOCKOUT REVIEW"),0,IF(S182&lt;=W182,MAX(0,ROUNDUP(X182-S182,0)),0))</f>
        <v/>
      </c>
      <c r="AB182" s="14">
        <f>IF(Z182="DATA CONFLICT - VERIFY","P1 - DATA CONFLICT",IF(Z182="SERVICE / STOCKOUT REVIEW","P1 - SERVICE",IF(Z182="OVERSTOCK REVIEW","P2 - OVERSTOCK",IF(Z182="REPLENISHMENT REVIEW","P2 - REPLENISH","P3 - MONITOR"))))</f>
        <v/>
      </c>
      <c r="AC182" s="16" t="n">
        <v>3356.794528301887</v>
      </c>
      <c r="AD182" s="16" t="n">
        <v>3188.954801886792</v>
      </c>
      <c r="AE182" s="16">
        <f>IF(OR(AD182="",H182=""),"",H182*AD182)</f>
        <v/>
      </c>
    </row>
    <row r="183">
      <c r="A183" s="7" t="inlineStr">
        <is>
          <t>2022-12-31</t>
        </is>
      </c>
      <c r="B183" s="7" t="n">
        <v>1576</v>
      </c>
      <c r="C183" s="8" t="inlineStr">
        <is>
          <t>VietMode RS-14</t>
        </is>
      </c>
      <c r="D183" s="8" t="inlineStr">
        <is>
          <t>Outdoor</t>
        </is>
      </c>
      <c r="E183" s="7" t="inlineStr">
        <is>
          <t>Premium</t>
        </is>
      </c>
      <c r="F183" s="7" t="inlineStr">
        <is>
          <t>S</t>
        </is>
      </c>
      <c r="G183" s="7" t="inlineStr">
        <is>
          <t>green</t>
        </is>
      </c>
      <c r="H183" s="9" t="n">
        <v>28</v>
      </c>
      <c r="I183" s="9" t="n">
        <v>6</v>
      </c>
      <c r="J183" s="10" t="n">
        <v>5.333333333333333</v>
      </c>
      <c r="K183" s="10">
        <f>IFERROR(J183/30,0)</f>
        <v/>
      </c>
      <c r="L183" s="9" t="n">
        <v>1</v>
      </c>
      <c r="M183" s="11" t="n">
        <v>0.9667</v>
      </c>
      <c r="N183" s="9" t="n">
        <v>1</v>
      </c>
      <c r="O183" s="9" t="n">
        <v>1</v>
      </c>
      <c r="P183" s="9" t="n">
        <v>0</v>
      </c>
      <c r="Q183" s="12" t="n">
        <v>0</v>
      </c>
      <c r="R183" s="12" t="n">
        <v>0</v>
      </c>
      <c r="S183" s="9">
        <f>H183+Q183-R183</f>
        <v/>
      </c>
      <c r="T183" s="12" t="n">
        <v>14</v>
      </c>
      <c r="U183" s="12" t="n">
        <v>7</v>
      </c>
      <c r="V183" s="12" t="n">
        <v>7</v>
      </c>
      <c r="W183" s="10">
        <f>K183*(T183+U183)</f>
        <v/>
      </c>
      <c r="X183" s="10">
        <f>K183*(T183+U183+V183)</f>
        <v/>
      </c>
      <c r="Y183" s="10">
        <f>IF(K183&gt;0,H183/K183,99999)</f>
        <v/>
      </c>
      <c r="Z183" s="8">
        <f>IF(AND(OR(L183&gt;=1,M183&lt;0.95),Y183&gt;120),"DATA CONFLICT - VERIFY",IF(OR(L183&gt;=1,M183&lt;0.95,Y183&lt;=14),"SERVICE / STOCKOUT REVIEW",IF(Y183&gt;120,"OVERSTOCK REVIEW",IF(S183&lt;=W183,"REPLENISHMENT REVIEW","NORMAL MONITORING"))))</f>
        <v/>
      </c>
      <c r="AA183" s="9">
        <f>IF(OR(Z183="DATA CONFLICT - VERIFY",Z183="SERVICE / STOCKOUT REVIEW"),0,IF(S183&lt;=W183,MAX(0,ROUNDUP(X183-S183,0)),0))</f>
        <v/>
      </c>
      <c r="AB183" s="8">
        <f>IF(Z183="DATA CONFLICT - VERIFY","P1 - DATA CONFLICT",IF(Z183="SERVICE / STOCKOUT REVIEW","P1 - SERVICE",IF(Z183="OVERSTOCK REVIEW","P2 - OVERSTOCK",IF(Z183="REPLENISHMENT REVIEW","P2 - REPLENISH","P3 - MONITOR"))))</f>
        <v/>
      </c>
      <c r="AC183" s="10" t="n">
        <v>2706.407012195122</v>
      </c>
      <c r="AD183" s="10" t="n">
        <v>2571.086661585366</v>
      </c>
      <c r="AE183" s="10">
        <f>IF(OR(AD183="",H183=""),"",H183*AD183)</f>
        <v/>
      </c>
    </row>
    <row r="184">
      <c r="A184" s="13" t="inlineStr">
        <is>
          <t>2022-12-31</t>
        </is>
      </c>
      <c r="B184" s="13" t="n">
        <v>1588</v>
      </c>
      <c r="C184" s="14" t="inlineStr">
        <is>
          <t>VietMode RS-26</t>
        </is>
      </c>
      <c r="D184" s="14" t="inlineStr">
        <is>
          <t>Outdoor</t>
        </is>
      </c>
      <c r="E184" s="13" t="inlineStr">
        <is>
          <t>Premium</t>
        </is>
      </c>
      <c r="F184" s="13" t="inlineStr">
        <is>
          <t>S</t>
        </is>
      </c>
      <c r="G184" s="13" t="inlineStr">
        <is>
          <t>pink</t>
        </is>
      </c>
      <c r="H184" s="15" t="n">
        <v>14</v>
      </c>
      <c r="I184" s="15" t="n">
        <v>1</v>
      </c>
      <c r="J184" s="16" t="n">
        <v>2</v>
      </c>
      <c r="K184" s="16">
        <f>IFERROR(J184/30,0)</f>
        <v/>
      </c>
      <c r="L184" s="15" t="n">
        <v>0</v>
      </c>
      <c r="M184" s="17" t="n">
        <v>1</v>
      </c>
      <c r="N184" s="15" t="n">
        <v>0</v>
      </c>
      <c r="O184" s="15" t="n">
        <v>1</v>
      </c>
      <c r="P184" s="15" t="n">
        <v>0</v>
      </c>
      <c r="Q184" s="12" t="n">
        <v>0</v>
      </c>
      <c r="R184" s="12" t="n">
        <v>0</v>
      </c>
      <c r="S184" s="15">
        <f>H184+Q184-R184</f>
        <v/>
      </c>
      <c r="T184" s="12" t="n">
        <v>14</v>
      </c>
      <c r="U184" s="12" t="n">
        <v>7</v>
      </c>
      <c r="V184" s="12" t="n">
        <v>7</v>
      </c>
      <c r="W184" s="16">
        <f>K184*(T184+U184)</f>
        <v/>
      </c>
      <c r="X184" s="16">
        <f>K184*(T184+U184+V184)</f>
        <v/>
      </c>
      <c r="Y184" s="16">
        <f>IF(K184&gt;0,H184/K184,99999)</f>
        <v/>
      </c>
      <c r="Z184" s="14">
        <f>IF(AND(OR(L184&gt;=1,M184&lt;0.95),Y184&gt;120),"DATA CONFLICT - VERIFY",IF(OR(L184&gt;=1,M184&lt;0.95,Y184&lt;=14),"SERVICE / STOCKOUT REVIEW",IF(Y184&gt;120,"OVERSTOCK REVIEW",IF(S184&lt;=W184,"REPLENISHMENT REVIEW","NORMAL MONITORING"))))</f>
        <v/>
      </c>
      <c r="AA184" s="15">
        <f>IF(OR(Z184="DATA CONFLICT - VERIFY",Z184="SERVICE / STOCKOUT REVIEW"),0,IF(S184&lt;=W184,MAX(0,ROUNDUP(X184-S184,0)),0))</f>
        <v/>
      </c>
      <c r="AB184" s="14">
        <f>IF(Z184="DATA CONFLICT - VERIFY","P1 - DATA CONFLICT",IF(Z184="SERVICE / STOCKOUT REVIEW","P1 - SERVICE",IF(Z184="OVERSTOCK REVIEW","P2 - OVERSTOCK",IF(Z184="REPLENISHMENT REVIEW","P2 - REPLENISH","P3 - MONITOR"))))</f>
        <v/>
      </c>
      <c r="AC184" s="16" t="n">
        <v>3529.89</v>
      </c>
      <c r="AD184" s="16" t="n">
        <v>2537.637921</v>
      </c>
      <c r="AE184" s="16">
        <f>IF(OR(AD184="",H184=""),"",H184*AD184)</f>
        <v/>
      </c>
    </row>
    <row r="185">
      <c r="A185" s="7" t="inlineStr">
        <is>
          <t>2022-12-31</t>
        </is>
      </c>
      <c r="B185" s="7" t="n">
        <v>1590</v>
      </c>
      <c r="C185" s="8" t="inlineStr">
        <is>
          <t>VietMode RS-28</t>
        </is>
      </c>
      <c r="D185" s="8" t="inlineStr">
        <is>
          <t>Outdoor</t>
        </is>
      </c>
      <c r="E185" s="7" t="inlineStr">
        <is>
          <t>Premium</t>
        </is>
      </c>
      <c r="F185" s="7" t="inlineStr">
        <is>
          <t>L</t>
        </is>
      </c>
      <c r="G185" s="7" t="inlineStr">
        <is>
          <t>red</t>
        </is>
      </c>
      <c r="H185" s="9" t="n">
        <v>10</v>
      </c>
      <c r="I185" s="9" t="n">
        <v>4</v>
      </c>
      <c r="J185" s="10" t="n">
        <v>5</v>
      </c>
      <c r="K185" s="10">
        <f>IFERROR(J185/30,0)</f>
        <v/>
      </c>
      <c r="L185" s="9" t="n">
        <v>0</v>
      </c>
      <c r="M185" s="11" t="n">
        <v>1</v>
      </c>
      <c r="N185" s="9" t="n">
        <v>0</v>
      </c>
      <c r="O185" s="9" t="n">
        <v>0</v>
      </c>
      <c r="P185" s="9" t="n">
        <v>0</v>
      </c>
      <c r="Q185" s="12" t="n">
        <v>0</v>
      </c>
      <c r="R185" s="12" t="n">
        <v>0</v>
      </c>
      <c r="S185" s="9">
        <f>H185+Q185-R185</f>
        <v/>
      </c>
      <c r="T185" s="12" t="n">
        <v>14</v>
      </c>
      <c r="U185" s="12" t="n">
        <v>7</v>
      </c>
      <c r="V185" s="12" t="n">
        <v>7</v>
      </c>
      <c r="W185" s="10">
        <f>K185*(T185+U185)</f>
        <v/>
      </c>
      <c r="X185" s="10">
        <f>K185*(T185+U185+V185)</f>
        <v/>
      </c>
      <c r="Y185" s="10">
        <f>IF(K185&gt;0,H185/K185,99999)</f>
        <v/>
      </c>
      <c r="Z185" s="8">
        <f>IF(AND(OR(L185&gt;=1,M185&lt;0.95),Y185&gt;120),"DATA CONFLICT - VERIFY",IF(OR(L185&gt;=1,M185&lt;0.95,Y185&lt;=14),"SERVICE / STOCKOUT REVIEW",IF(Y185&gt;120,"OVERSTOCK REVIEW",IF(S185&lt;=W185,"REPLENISHMENT REVIEW","NORMAL MONITORING"))))</f>
        <v/>
      </c>
      <c r="AA185" s="9">
        <f>IF(OR(Z185="DATA CONFLICT - VERIFY",Z185="SERVICE / STOCKOUT REVIEW"),0,IF(S185&lt;=W185,MAX(0,ROUNDUP(X185-S185,0)),0))</f>
        <v/>
      </c>
      <c r="AB185" s="8">
        <f>IF(Z185="DATA CONFLICT - VERIFY","P1 - DATA CONFLICT",IF(Z185="SERVICE / STOCKOUT REVIEW","P1 - SERVICE",IF(Z185="OVERSTOCK REVIEW","P2 - OVERSTOCK",IF(Z185="REPLENISHMENT REVIEW","P2 - REPLENISH","P3 - MONITOR"))))</f>
        <v/>
      </c>
      <c r="AC185" s="10" t="n">
        <v>5246.28743119266</v>
      </c>
      <c r="AD185" s="10" t="n">
        <v>4392.716466137615</v>
      </c>
      <c r="AE185" s="10">
        <f>IF(OR(AD185="",H185=""),"",H185*AD185)</f>
        <v/>
      </c>
    </row>
    <row r="186">
      <c r="A186" s="13" t="inlineStr">
        <is>
          <t>2022-12-31</t>
        </is>
      </c>
      <c r="B186" s="13" t="n">
        <v>1592</v>
      </c>
      <c r="C186" s="14" t="inlineStr">
        <is>
          <t>VietMode RS-30</t>
        </is>
      </c>
      <c r="D186" s="14" t="inlineStr">
        <is>
          <t>Outdoor</t>
        </is>
      </c>
      <c r="E186" s="13" t="inlineStr">
        <is>
          <t>Premium</t>
        </is>
      </c>
      <c r="F186" s="13" t="inlineStr">
        <is>
          <t>S</t>
        </is>
      </c>
      <c r="G186" s="13" t="inlineStr">
        <is>
          <t>orange</t>
        </is>
      </c>
      <c r="H186" s="15" t="n">
        <v>9</v>
      </c>
      <c r="I186" s="15" t="n">
        <v>3</v>
      </c>
      <c r="J186" s="16" t="n">
        <v>2.333333333333333</v>
      </c>
      <c r="K186" s="16">
        <f>IFERROR(J186/30,0)</f>
        <v/>
      </c>
      <c r="L186" s="15" t="n">
        <v>0</v>
      </c>
      <c r="M186" s="17" t="n">
        <v>1</v>
      </c>
      <c r="N186" s="15" t="n">
        <v>0</v>
      </c>
      <c r="O186" s="15" t="n">
        <v>0</v>
      </c>
      <c r="P186" s="15" t="n">
        <v>0</v>
      </c>
      <c r="Q186" s="12" t="n">
        <v>0</v>
      </c>
      <c r="R186" s="12" t="n">
        <v>0</v>
      </c>
      <c r="S186" s="15">
        <f>H186+Q186-R186</f>
        <v/>
      </c>
      <c r="T186" s="12" t="n">
        <v>14</v>
      </c>
      <c r="U186" s="12" t="n">
        <v>7</v>
      </c>
      <c r="V186" s="12" t="n">
        <v>7</v>
      </c>
      <c r="W186" s="16">
        <f>K186*(T186+U186)</f>
        <v/>
      </c>
      <c r="X186" s="16">
        <f>K186*(T186+U186+V186)</f>
        <v/>
      </c>
      <c r="Y186" s="16">
        <f>IF(K186&gt;0,H186/K186,99999)</f>
        <v/>
      </c>
      <c r="Z186" s="14">
        <f>IF(AND(OR(L186&gt;=1,M186&lt;0.95),Y186&gt;120),"DATA CONFLICT - VERIFY",IF(OR(L186&gt;=1,M186&lt;0.95,Y186&lt;=14),"SERVICE / STOCKOUT REVIEW",IF(Y186&gt;120,"OVERSTOCK REVIEW",IF(S186&lt;=W186,"REPLENISHMENT REVIEW","NORMAL MONITORING"))))</f>
        <v/>
      </c>
      <c r="AA186" s="15">
        <f>IF(OR(Z186="DATA CONFLICT - VERIFY",Z186="SERVICE / STOCKOUT REVIEW"),0,IF(S186&lt;=W186,MAX(0,ROUNDUP(X186-S186,0)),0))</f>
        <v/>
      </c>
      <c r="AB186" s="14">
        <f>IF(Z186="DATA CONFLICT - VERIFY","P1 - DATA CONFLICT",IF(Z186="SERVICE / STOCKOUT REVIEW","P1 - SERVICE",IF(Z186="OVERSTOCK REVIEW","P2 - OVERSTOCK",IF(Z186="REPLENISHMENT REVIEW","P2 - REPLENISH","P3 - MONITOR"))))</f>
        <v/>
      </c>
      <c r="AC186" s="16" t="n">
        <v>5868.392727272727</v>
      </c>
      <c r="AD186" s="16" t="n">
        <v>5574.97309090909</v>
      </c>
      <c r="AE186" s="16">
        <f>IF(OR(AD186="",H186=""),"",H186*AD186)</f>
        <v/>
      </c>
    </row>
    <row r="187">
      <c r="A187" s="7" t="inlineStr">
        <is>
          <t>2022-12-31</t>
        </is>
      </c>
      <c r="B187" s="7" t="n">
        <v>1597</v>
      </c>
      <c r="C187" s="8" t="inlineStr">
        <is>
          <t>VietMode RS-35</t>
        </is>
      </c>
      <c r="D187" s="8" t="inlineStr">
        <is>
          <t>Outdoor</t>
        </is>
      </c>
      <c r="E187" s="7" t="inlineStr">
        <is>
          <t>Premium</t>
        </is>
      </c>
      <c r="F187" s="7" t="inlineStr">
        <is>
          <t>M</t>
        </is>
      </c>
      <c r="G187" s="7" t="inlineStr">
        <is>
          <t>silver</t>
        </is>
      </c>
      <c r="H187" s="9" t="n">
        <v>60</v>
      </c>
      <c r="I187" s="9" t="n">
        <v>8</v>
      </c>
      <c r="J187" s="10" t="n">
        <v>4.333333333333333</v>
      </c>
      <c r="K187" s="10">
        <f>IFERROR(J187/30,0)</f>
        <v/>
      </c>
      <c r="L187" s="9" t="n">
        <v>2</v>
      </c>
      <c r="M187" s="11" t="n">
        <v>0.9333</v>
      </c>
      <c r="N187" s="9" t="n">
        <v>1</v>
      </c>
      <c r="O187" s="9" t="n">
        <v>1</v>
      </c>
      <c r="P187" s="9" t="n">
        <v>0</v>
      </c>
      <c r="Q187" s="12" t="n">
        <v>0</v>
      </c>
      <c r="R187" s="12" t="n">
        <v>0</v>
      </c>
      <c r="S187" s="9">
        <f>H187+Q187-R187</f>
        <v/>
      </c>
      <c r="T187" s="12" t="n">
        <v>14</v>
      </c>
      <c r="U187" s="12" t="n">
        <v>7</v>
      </c>
      <c r="V187" s="12" t="n">
        <v>7</v>
      </c>
      <c r="W187" s="10">
        <f>K187*(T187+U187)</f>
        <v/>
      </c>
      <c r="X187" s="10">
        <f>K187*(T187+U187+V187)</f>
        <v/>
      </c>
      <c r="Y187" s="10">
        <f>IF(K187&gt;0,H187/K187,99999)</f>
        <v/>
      </c>
      <c r="Z187" s="8">
        <f>IF(AND(OR(L187&gt;=1,M187&lt;0.95),Y187&gt;120),"DATA CONFLICT - VERIFY",IF(OR(L187&gt;=1,M187&lt;0.95,Y187&lt;=14),"SERVICE / STOCKOUT REVIEW",IF(Y187&gt;120,"OVERSTOCK REVIEW",IF(S187&lt;=W187,"REPLENISHMENT REVIEW","NORMAL MONITORING"))))</f>
        <v/>
      </c>
      <c r="AA187" s="9">
        <f>IF(OR(Z187="DATA CONFLICT - VERIFY",Z187="SERVICE / STOCKOUT REVIEW"),0,IF(S187&lt;=W187,MAX(0,ROUNDUP(X187-S187,0)),0))</f>
        <v/>
      </c>
      <c r="AB187" s="8">
        <f>IF(Z187="DATA CONFLICT - VERIFY","P1 - DATA CONFLICT",IF(Z187="SERVICE / STOCKOUT REVIEW","P1 - SERVICE",IF(Z187="OVERSTOCK REVIEW","P2 - OVERSTOCK",IF(Z187="REPLENISHMENT REVIEW","P2 - REPLENISH","P3 - MONITOR"))))</f>
        <v/>
      </c>
      <c r="AC187" s="10" t="n">
        <v>2063.380223463688</v>
      </c>
      <c r="AD187" s="10" t="n">
        <v>1049.435181653631</v>
      </c>
      <c r="AE187" s="10">
        <f>IF(OR(AD187="",H187=""),"",H187*AD187)</f>
        <v/>
      </c>
    </row>
    <row r="188">
      <c r="A188" s="13" t="inlineStr">
        <is>
          <t>2022-12-31</t>
        </is>
      </c>
      <c r="B188" s="13" t="n">
        <v>1601</v>
      </c>
      <c r="C188" s="14" t="inlineStr">
        <is>
          <t>VietMode RS-39</t>
        </is>
      </c>
      <c r="D188" s="14" t="inlineStr">
        <is>
          <t>Outdoor</t>
        </is>
      </c>
      <c r="E188" s="13" t="inlineStr">
        <is>
          <t>Premium</t>
        </is>
      </c>
      <c r="F188" s="13" t="inlineStr">
        <is>
          <t>M</t>
        </is>
      </c>
      <c r="G188" s="13" t="inlineStr">
        <is>
          <t>black</t>
        </is>
      </c>
      <c r="H188" s="15" t="n">
        <v>16</v>
      </c>
      <c r="I188" s="15" t="n">
        <v>7</v>
      </c>
      <c r="J188" s="16" t="n">
        <v>6</v>
      </c>
      <c r="K188" s="16">
        <f>IFERROR(J188/30,0)</f>
        <v/>
      </c>
      <c r="L188" s="15" t="n">
        <v>1</v>
      </c>
      <c r="M188" s="17" t="n">
        <v>0.9667</v>
      </c>
      <c r="N188" s="15" t="n">
        <v>1</v>
      </c>
      <c r="O188" s="15" t="n">
        <v>0</v>
      </c>
      <c r="P188" s="15" t="n">
        <v>0</v>
      </c>
      <c r="Q188" s="12" t="n">
        <v>0</v>
      </c>
      <c r="R188" s="12" t="n">
        <v>0</v>
      </c>
      <c r="S188" s="15">
        <f>H188+Q188-R188</f>
        <v/>
      </c>
      <c r="T188" s="12" t="n">
        <v>14</v>
      </c>
      <c r="U188" s="12" t="n">
        <v>7</v>
      </c>
      <c r="V188" s="12" t="n">
        <v>7</v>
      </c>
      <c r="W188" s="16">
        <f>K188*(T188+U188)</f>
        <v/>
      </c>
      <c r="X188" s="16">
        <f>K188*(T188+U188+V188)</f>
        <v/>
      </c>
      <c r="Y188" s="16">
        <f>IF(K188&gt;0,H188/K188,99999)</f>
        <v/>
      </c>
      <c r="Z188" s="14">
        <f>IF(AND(OR(L188&gt;=1,M188&lt;0.95),Y188&gt;120),"DATA CONFLICT - VERIFY",IF(OR(L188&gt;=1,M188&lt;0.95,Y188&lt;=14),"SERVICE / STOCKOUT REVIEW",IF(Y188&gt;120,"OVERSTOCK REVIEW",IF(S188&lt;=W188,"REPLENISHMENT REVIEW","NORMAL MONITORING"))))</f>
        <v/>
      </c>
      <c r="AA188" s="15">
        <f>IF(OR(Z188="DATA CONFLICT - VERIFY",Z188="SERVICE / STOCKOUT REVIEW"),0,IF(S188&lt;=W188,MAX(0,ROUNDUP(X188-S188,0)),0))</f>
        <v/>
      </c>
      <c r="AB188" s="14">
        <f>IF(Z188="DATA CONFLICT - VERIFY","P1 - DATA CONFLICT",IF(Z188="SERVICE / STOCKOUT REVIEW","P1 - SERVICE",IF(Z188="OVERSTOCK REVIEW","P2 - OVERSTOCK",IF(Z188="REPLENISHMENT REVIEW","P2 - REPLENISH","P3 - MONITOR"))))</f>
        <v/>
      </c>
      <c r="AC188" s="16" t="n">
        <v>3793.490689655173</v>
      </c>
      <c r="AD188" s="16" t="n">
        <v>2490.047288689655</v>
      </c>
      <c r="AE188" s="16">
        <f>IF(OR(AD188="",H188=""),"",H188*AD188)</f>
        <v/>
      </c>
    </row>
    <row r="189">
      <c r="A189" s="7" t="inlineStr">
        <is>
          <t>2022-12-31</t>
        </is>
      </c>
      <c r="B189" s="7" t="n">
        <v>1602</v>
      </c>
      <c r="C189" s="8" t="inlineStr">
        <is>
          <t>VietMode RS-40</t>
        </is>
      </c>
      <c r="D189" s="8" t="inlineStr">
        <is>
          <t>Outdoor</t>
        </is>
      </c>
      <c r="E189" s="7" t="inlineStr">
        <is>
          <t>Premium</t>
        </is>
      </c>
      <c r="F189" s="7" t="inlineStr">
        <is>
          <t>L</t>
        </is>
      </c>
      <c r="G189" s="7" t="inlineStr">
        <is>
          <t>orange</t>
        </is>
      </c>
      <c r="H189" s="9" t="n">
        <v>3</v>
      </c>
      <c r="I189" s="9" t="n">
        <v>1</v>
      </c>
      <c r="J189" s="10" t="n">
        <v>1</v>
      </c>
      <c r="K189" s="10">
        <f>IFERROR(J189/30,0)</f>
        <v/>
      </c>
      <c r="L189" s="9" t="n">
        <v>1</v>
      </c>
      <c r="M189" s="11" t="n">
        <v>0.9667</v>
      </c>
      <c r="N189" s="9" t="n">
        <v>1</v>
      </c>
      <c r="O189" s="9" t="n">
        <v>0</v>
      </c>
      <c r="P189" s="9" t="n">
        <v>0</v>
      </c>
      <c r="Q189" s="12" t="n">
        <v>0</v>
      </c>
      <c r="R189" s="12" t="n">
        <v>0</v>
      </c>
      <c r="S189" s="9">
        <f>H189+Q189-R189</f>
        <v/>
      </c>
      <c r="T189" s="12" t="n">
        <v>14</v>
      </c>
      <c r="U189" s="12" t="n">
        <v>7</v>
      </c>
      <c r="V189" s="12" t="n">
        <v>7</v>
      </c>
      <c r="W189" s="10">
        <f>K189*(T189+U189)</f>
        <v/>
      </c>
      <c r="X189" s="10">
        <f>K189*(T189+U189+V189)</f>
        <v/>
      </c>
      <c r="Y189" s="10">
        <f>IF(K189&gt;0,H189/K189,99999)</f>
        <v/>
      </c>
      <c r="Z189" s="8">
        <f>IF(AND(OR(L189&gt;=1,M189&lt;0.95),Y189&gt;120),"DATA CONFLICT - VERIFY",IF(OR(L189&gt;=1,M189&lt;0.95,Y189&lt;=14),"SERVICE / STOCKOUT REVIEW",IF(Y189&gt;120,"OVERSTOCK REVIEW",IF(S189&lt;=W189,"REPLENISHMENT REVIEW","NORMAL MONITORING"))))</f>
        <v/>
      </c>
      <c r="AA189" s="9">
        <f>IF(OR(Z189="DATA CONFLICT - VERIFY",Z189="SERVICE / STOCKOUT REVIEW"),0,IF(S189&lt;=W189,MAX(0,ROUNDUP(X189-S189,0)),0))</f>
        <v/>
      </c>
      <c r="AB189" s="8">
        <f>IF(Z189="DATA CONFLICT - VERIFY","P1 - DATA CONFLICT",IF(Z189="SERVICE / STOCKOUT REVIEW","P1 - SERVICE",IF(Z189="OVERSTOCK REVIEW","P2 - OVERSTOCK",IF(Z189="REPLENISHMENT REVIEW","P2 - REPLENISH","P3 - MONITOR"))))</f>
        <v/>
      </c>
      <c r="AC189" s="10" t="n">
        <v>4535.37</v>
      </c>
      <c r="AD189" s="10" t="n">
        <v>4308.6015</v>
      </c>
      <c r="AE189" s="10">
        <f>IF(OR(AD189="",H189=""),"",H189*AD189)</f>
        <v/>
      </c>
    </row>
    <row r="190">
      <c r="A190" s="13" t="inlineStr">
        <is>
          <t>2022-12-31</t>
        </is>
      </c>
      <c r="B190" s="13" t="n">
        <v>1605</v>
      </c>
      <c r="C190" s="14" t="inlineStr">
        <is>
          <t>VietMode RS-43</t>
        </is>
      </c>
      <c r="D190" s="14" t="inlineStr">
        <is>
          <t>Outdoor</t>
        </is>
      </c>
      <c r="E190" s="13" t="inlineStr">
        <is>
          <t>Premium</t>
        </is>
      </c>
      <c r="F190" s="13" t="inlineStr">
        <is>
          <t>M</t>
        </is>
      </c>
      <c r="G190" s="13" t="inlineStr">
        <is>
          <t>purple</t>
        </is>
      </c>
      <c r="H190" s="15" t="n">
        <v>9</v>
      </c>
      <c r="I190" s="15" t="n">
        <v>7</v>
      </c>
      <c r="J190" s="16" t="n">
        <v>6.666666666666667</v>
      </c>
      <c r="K190" s="16">
        <f>IFERROR(J190/30,0)</f>
        <v/>
      </c>
      <c r="L190" s="15" t="n">
        <v>0</v>
      </c>
      <c r="M190" s="17" t="n">
        <v>1</v>
      </c>
      <c r="N190" s="15" t="n">
        <v>0</v>
      </c>
      <c r="O190" s="15" t="n">
        <v>0</v>
      </c>
      <c r="P190" s="15" t="n">
        <v>0</v>
      </c>
      <c r="Q190" s="12" t="n">
        <v>0</v>
      </c>
      <c r="R190" s="12" t="n">
        <v>0</v>
      </c>
      <c r="S190" s="15">
        <f>H190+Q190-R190</f>
        <v/>
      </c>
      <c r="T190" s="12" t="n">
        <v>14</v>
      </c>
      <c r="U190" s="12" t="n">
        <v>7</v>
      </c>
      <c r="V190" s="12" t="n">
        <v>7</v>
      </c>
      <c r="W190" s="16">
        <f>K190*(T190+U190)</f>
        <v/>
      </c>
      <c r="X190" s="16">
        <f>K190*(T190+U190+V190)</f>
        <v/>
      </c>
      <c r="Y190" s="16">
        <f>IF(K190&gt;0,H190/K190,99999)</f>
        <v/>
      </c>
      <c r="Z190" s="14">
        <f>IF(AND(OR(L190&gt;=1,M190&lt;0.95),Y190&gt;120),"DATA CONFLICT - VERIFY",IF(OR(L190&gt;=1,M190&lt;0.95,Y190&lt;=14),"SERVICE / STOCKOUT REVIEW",IF(Y190&gt;120,"OVERSTOCK REVIEW",IF(S190&lt;=W190,"REPLENISHMENT REVIEW","NORMAL MONITORING"))))</f>
        <v/>
      </c>
      <c r="AA190" s="15">
        <f>IF(OR(Z190="DATA CONFLICT - VERIFY",Z190="SERVICE / STOCKOUT REVIEW"),0,IF(S190&lt;=W190,MAX(0,ROUNDUP(X190-S190,0)),0))</f>
        <v/>
      </c>
      <c r="AB190" s="14">
        <f>IF(Z190="DATA CONFLICT - VERIFY","P1 - DATA CONFLICT",IF(Z190="SERVICE / STOCKOUT REVIEW","P1 - SERVICE",IF(Z190="OVERSTOCK REVIEW","P2 - OVERSTOCK",IF(Z190="REPLENISHMENT REVIEW","P2 - REPLENISH","P3 - MONITOR"))))</f>
        <v/>
      </c>
      <c r="AC190" s="16" t="n">
        <v>5118.753298429319</v>
      </c>
      <c r="AD190" s="16" t="n">
        <v>4862.815633507853</v>
      </c>
      <c r="AE190" s="16">
        <f>IF(OR(AD190="",H190=""),"",H190*AD190)</f>
        <v/>
      </c>
    </row>
    <row r="191">
      <c r="A191" s="7" t="inlineStr">
        <is>
          <t>2022-12-31</t>
        </is>
      </c>
      <c r="B191" s="7" t="n">
        <v>1607</v>
      </c>
      <c r="C191" s="8" t="inlineStr">
        <is>
          <t>VietMode RS-45</t>
        </is>
      </c>
      <c r="D191" s="8" t="inlineStr">
        <is>
          <t>Outdoor</t>
        </is>
      </c>
      <c r="E191" s="7" t="inlineStr">
        <is>
          <t>Premium</t>
        </is>
      </c>
      <c r="F191" s="7" t="inlineStr">
        <is>
          <t>XL</t>
        </is>
      </c>
      <c r="G191" s="7" t="inlineStr">
        <is>
          <t>silver</t>
        </is>
      </c>
      <c r="H191" s="9" t="n">
        <v>18</v>
      </c>
      <c r="I191" s="9" t="n">
        <v>3</v>
      </c>
      <c r="J191" s="10" t="n">
        <v>3.666666666666667</v>
      </c>
      <c r="K191" s="10">
        <f>IFERROR(J191/30,0)</f>
        <v/>
      </c>
      <c r="L191" s="9" t="n">
        <v>0</v>
      </c>
      <c r="M191" s="11" t="n">
        <v>1</v>
      </c>
      <c r="N191" s="9" t="n">
        <v>0</v>
      </c>
      <c r="O191" s="9" t="n">
        <v>1</v>
      </c>
      <c r="P191" s="9" t="n">
        <v>0</v>
      </c>
      <c r="Q191" s="12" t="n">
        <v>0</v>
      </c>
      <c r="R191" s="12" t="n">
        <v>0</v>
      </c>
      <c r="S191" s="9">
        <f>H191+Q191-R191</f>
        <v/>
      </c>
      <c r="T191" s="12" t="n">
        <v>14</v>
      </c>
      <c r="U191" s="12" t="n">
        <v>7</v>
      </c>
      <c r="V191" s="12" t="n">
        <v>7</v>
      </c>
      <c r="W191" s="10">
        <f>K191*(T191+U191)</f>
        <v/>
      </c>
      <c r="X191" s="10">
        <f>K191*(T191+U191+V191)</f>
        <v/>
      </c>
      <c r="Y191" s="10">
        <f>IF(K191&gt;0,H191/K191,99999)</f>
        <v/>
      </c>
      <c r="Z191" s="8">
        <f>IF(AND(OR(L191&gt;=1,M191&lt;0.95),Y191&gt;120),"DATA CONFLICT - VERIFY",IF(OR(L191&gt;=1,M191&lt;0.95,Y191&lt;=14),"SERVICE / STOCKOUT REVIEW",IF(Y191&gt;120,"OVERSTOCK REVIEW",IF(S191&lt;=W191,"REPLENISHMENT REVIEW","NORMAL MONITORING"))))</f>
        <v/>
      </c>
      <c r="AA191" s="9">
        <f>IF(OR(Z191="DATA CONFLICT - VERIFY",Z191="SERVICE / STOCKOUT REVIEW"),0,IF(S191&lt;=W191,MAX(0,ROUNDUP(X191-S191,0)),0))</f>
        <v/>
      </c>
      <c r="AB191" s="8">
        <f>IF(Z191="DATA CONFLICT - VERIFY","P1 - DATA CONFLICT",IF(Z191="SERVICE / STOCKOUT REVIEW","P1 - SERVICE",IF(Z191="OVERSTOCK REVIEW","P2 - OVERSTOCK",IF(Z191="REPLENISHMENT REVIEW","P2 - REPLENISH","P3 - MONITOR"))))</f>
        <v/>
      </c>
      <c r="AC191" s="10" t="n">
        <v>5235.274109589041</v>
      </c>
      <c r="AD191" s="10" t="n">
        <v>4973.510404109589</v>
      </c>
      <c r="AE191" s="10">
        <f>IF(OR(AD191="",H191=""),"",H191*AD191)</f>
        <v/>
      </c>
    </row>
    <row r="192">
      <c r="A192" s="13" t="inlineStr">
        <is>
          <t>2022-12-31</t>
        </is>
      </c>
      <c r="B192" s="13" t="n">
        <v>1608</v>
      </c>
      <c r="C192" s="14" t="inlineStr">
        <is>
          <t>VietMode RS-46</t>
        </is>
      </c>
      <c r="D192" s="14" t="inlineStr">
        <is>
          <t>Outdoor</t>
        </is>
      </c>
      <c r="E192" s="13" t="inlineStr">
        <is>
          <t>Premium</t>
        </is>
      </c>
      <c r="F192" s="13" t="inlineStr">
        <is>
          <t>S</t>
        </is>
      </c>
      <c r="G192" s="13" t="inlineStr">
        <is>
          <t>pink</t>
        </is>
      </c>
      <c r="H192" s="15" t="n">
        <v>4</v>
      </c>
      <c r="I192" s="15" t="n">
        <v>4</v>
      </c>
      <c r="J192" s="16" t="n">
        <v>2.333333333333333</v>
      </c>
      <c r="K192" s="16">
        <f>IFERROR(J192/30,0)</f>
        <v/>
      </c>
      <c r="L192" s="15" t="n">
        <v>0</v>
      </c>
      <c r="M192" s="17" t="n">
        <v>1</v>
      </c>
      <c r="N192" s="15" t="n">
        <v>0</v>
      </c>
      <c r="O192" s="15" t="n">
        <v>0</v>
      </c>
      <c r="P192" s="15" t="n">
        <v>0</v>
      </c>
      <c r="Q192" s="12" t="n">
        <v>0</v>
      </c>
      <c r="R192" s="12" t="n">
        <v>0</v>
      </c>
      <c r="S192" s="15">
        <f>H192+Q192-R192</f>
        <v/>
      </c>
      <c r="T192" s="12" t="n">
        <v>14</v>
      </c>
      <c r="U192" s="12" t="n">
        <v>7</v>
      </c>
      <c r="V192" s="12" t="n">
        <v>7</v>
      </c>
      <c r="W192" s="16">
        <f>K192*(T192+U192)</f>
        <v/>
      </c>
      <c r="X192" s="16">
        <f>K192*(T192+U192+V192)</f>
        <v/>
      </c>
      <c r="Y192" s="16">
        <f>IF(K192&gt;0,H192/K192,99999)</f>
        <v/>
      </c>
      <c r="Z192" s="14">
        <f>IF(AND(OR(L192&gt;=1,M192&lt;0.95),Y192&gt;120),"DATA CONFLICT - VERIFY",IF(OR(L192&gt;=1,M192&lt;0.95,Y192&lt;=14),"SERVICE / STOCKOUT REVIEW",IF(Y192&gt;120,"OVERSTOCK REVIEW",IF(S192&lt;=W192,"REPLENISHMENT REVIEW","NORMAL MONITORING"))))</f>
        <v/>
      </c>
      <c r="AA192" s="15">
        <f>IF(OR(Z192="DATA CONFLICT - VERIFY",Z192="SERVICE / STOCKOUT REVIEW"),0,IF(S192&lt;=W192,MAX(0,ROUNDUP(X192-S192,0)),0))</f>
        <v/>
      </c>
      <c r="AB192" s="14">
        <f>IF(Z192="DATA CONFLICT - VERIFY","P1 - DATA CONFLICT",IF(Z192="SERVICE / STOCKOUT REVIEW","P1 - SERVICE",IF(Z192="OVERSTOCK REVIEW","P2 - OVERSTOCK",IF(Z192="REPLENISHMENT REVIEW","P2 - REPLENISH","P3 - MONITOR"))))</f>
        <v/>
      </c>
      <c r="AC192" s="16" t="n">
        <v>5496.296966292135</v>
      </c>
      <c r="AD192" s="16" t="n">
        <v>5221.482117977528</v>
      </c>
      <c r="AE192" s="16">
        <f>IF(OR(AD192="",H192=""),"",H192*AD192)</f>
        <v/>
      </c>
    </row>
    <row r="193">
      <c r="A193" s="7" t="inlineStr">
        <is>
          <t>2022-12-31</t>
        </is>
      </c>
      <c r="B193" s="7" t="n">
        <v>1615</v>
      </c>
      <c r="C193" s="8" t="inlineStr">
        <is>
          <t>VietMode RS-53</t>
        </is>
      </c>
      <c r="D193" s="8" t="inlineStr">
        <is>
          <t>Outdoor</t>
        </is>
      </c>
      <c r="E193" s="7" t="inlineStr">
        <is>
          <t>Premium</t>
        </is>
      </c>
      <c r="F193" s="7" t="inlineStr">
        <is>
          <t>XL</t>
        </is>
      </c>
      <c r="G193" s="7" t="inlineStr">
        <is>
          <t>purple</t>
        </is>
      </c>
      <c r="H193" s="9" t="n">
        <v>3</v>
      </c>
      <c r="I193" s="9" t="n">
        <v>1</v>
      </c>
      <c r="J193" s="10" t="n">
        <v>1</v>
      </c>
      <c r="K193" s="10">
        <f>IFERROR(J193/30,0)</f>
        <v/>
      </c>
      <c r="L193" s="9" t="n">
        <v>0</v>
      </c>
      <c r="M193" s="11" t="n">
        <v>1</v>
      </c>
      <c r="N193" s="9" t="n">
        <v>0</v>
      </c>
      <c r="O193" s="9" t="n">
        <v>0</v>
      </c>
      <c r="P193" s="9" t="n">
        <v>0</v>
      </c>
      <c r="Q193" s="12" t="n">
        <v>0</v>
      </c>
      <c r="R193" s="12" t="n">
        <v>0</v>
      </c>
      <c r="S193" s="9">
        <f>H193+Q193-R193</f>
        <v/>
      </c>
      <c r="T193" s="12" t="n">
        <v>14</v>
      </c>
      <c r="U193" s="12" t="n">
        <v>7</v>
      </c>
      <c r="V193" s="12" t="n">
        <v>7</v>
      </c>
      <c r="W193" s="10">
        <f>K193*(T193+U193)</f>
        <v/>
      </c>
      <c r="X193" s="10">
        <f>K193*(T193+U193+V193)</f>
        <v/>
      </c>
      <c r="Y193" s="10">
        <f>IF(K193&gt;0,H193/K193,99999)</f>
        <v/>
      </c>
      <c r="Z193" s="8">
        <f>IF(AND(OR(L193&gt;=1,M193&lt;0.95),Y193&gt;120),"DATA CONFLICT - VERIFY",IF(OR(L193&gt;=1,M193&lt;0.95,Y193&lt;=14),"SERVICE / STOCKOUT REVIEW",IF(Y193&gt;120,"OVERSTOCK REVIEW",IF(S193&lt;=W193,"REPLENISHMENT REVIEW","NORMAL MONITORING"))))</f>
        <v/>
      </c>
      <c r="AA193" s="9">
        <f>IF(OR(Z193="DATA CONFLICT - VERIFY",Z193="SERVICE / STOCKOUT REVIEW"),0,IF(S193&lt;=W193,MAX(0,ROUNDUP(X193-S193,0)),0))</f>
        <v/>
      </c>
      <c r="AB193" s="8">
        <f>IF(Z193="DATA CONFLICT - VERIFY","P1 - DATA CONFLICT",IF(Z193="SERVICE / STOCKOUT REVIEW","P1 - SERVICE",IF(Z193="OVERSTOCK REVIEW","P2 - OVERSTOCK",IF(Z193="REPLENISHMENT REVIEW","P2 - REPLENISH","P3 - MONITOR"))))</f>
        <v/>
      </c>
      <c r="AC193" s="10" t="n">
        <v>3167.899411764706</v>
      </c>
      <c r="AD193" s="10" t="n">
        <v>3009.50444117647</v>
      </c>
      <c r="AE193" s="10">
        <f>IF(OR(AD193="",H193=""),"",H193*AD193)</f>
        <v/>
      </c>
    </row>
    <row r="194">
      <c r="A194" s="13" t="inlineStr">
        <is>
          <t>2022-12-31</t>
        </is>
      </c>
      <c r="B194" s="13" t="n">
        <v>1645</v>
      </c>
      <c r="C194" s="14" t="inlineStr">
        <is>
          <t>VietMode RS-83</t>
        </is>
      </c>
      <c r="D194" s="14" t="inlineStr">
        <is>
          <t>Outdoor</t>
        </is>
      </c>
      <c r="E194" s="13" t="inlineStr">
        <is>
          <t>Premium</t>
        </is>
      </c>
      <c r="F194" s="13" t="inlineStr">
        <is>
          <t>M</t>
        </is>
      </c>
      <c r="G194" s="13" t="inlineStr">
        <is>
          <t>purple</t>
        </is>
      </c>
      <c r="H194" s="15" t="n">
        <v>9</v>
      </c>
      <c r="I194" s="15" t="n">
        <v>3</v>
      </c>
      <c r="J194" s="16" t="n">
        <v>3</v>
      </c>
      <c r="K194" s="16">
        <f>IFERROR(J194/30,0)</f>
        <v/>
      </c>
      <c r="L194" s="15" t="n">
        <v>0</v>
      </c>
      <c r="M194" s="17" t="n">
        <v>1</v>
      </c>
      <c r="N194" s="15" t="n">
        <v>0</v>
      </c>
      <c r="O194" s="15" t="n">
        <v>0</v>
      </c>
      <c r="P194" s="15" t="n">
        <v>0</v>
      </c>
      <c r="Q194" s="12" t="n">
        <v>0</v>
      </c>
      <c r="R194" s="12" t="n">
        <v>0</v>
      </c>
      <c r="S194" s="15">
        <f>H194+Q194-R194</f>
        <v/>
      </c>
      <c r="T194" s="12" t="n">
        <v>14</v>
      </c>
      <c r="U194" s="12" t="n">
        <v>7</v>
      </c>
      <c r="V194" s="12" t="n">
        <v>7</v>
      </c>
      <c r="W194" s="16">
        <f>K194*(T194+U194)</f>
        <v/>
      </c>
      <c r="X194" s="16">
        <f>K194*(T194+U194+V194)</f>
        <v/>
      </c>
      <c r="Y194" s="16">
        <f>IF(K194&gt;0,H194/K194,99999)</f>
        <v/>
      </c>
      <c r="Z194" s="14">
        <f>IF(AND(OR(L194&gt;=1,M194&lt;0.95),Y194&gt;120),"DATA CONFLICT - VERIFY",IF(OR(L194&gt;=1,M194&lt;0.95,Y194&lt;=14),"SERVICE / STOCKOUT REVIEW",IF(Y194&gt;120,"OVERSTOCK REVIEW",IF(S194&lt;=W194,"REPLENISHMENT REVIEW","NORMAL MONITORING"))))</f>
        <v/>
      </c>
      <c r="AA194" s="15">
        <f>IF(OR(Z194="DATA CONFLICT - VERIFY",Z194="SERVICE / STOCKOUT REVIEW"),0,IF(S194&lt;=W194,MAX(0,ROUNDUP(X194-S194,0)),0))</f>
        <v/>
      </c>
      <c r="AB194" s="14">
        <f>IF(Z194="DATA CONFLICT - VERIFY","P1 - DATA CONFLICT",IF(Z194="SERVICE / STOCKOUT REVIEW","P1 - SERVICE",IF(Z194="OVERSTOCK REVIEW","P2 - OVERSTOCK",IF(Z194="REPLENISHMENT REVIEW","P2 - REPLENISH","P3 - MONITOR"))))</f>
        <v/>
      </c>
      <c r="AC194" s="16" t="n">
        <v>5039.37</v>
      </c>
      <c r="AD194" s="16" t="n">
        <v>2724.283422</v>
      </c>
      <c r="AE194" s="16">
        <f>IF(OR(AD194="",H194=""),"",H194*AD194)</f>
        <v/>
      </c>
    </row>
    <row r="195">
      <c r="A195" s="7" t="inlineStr">
        <is>
          <t>2022-12-31</t>
        </is>
      </c>
      <c r="B195" s="7" t="n">
        <v>1646</v>
      </c>
      <c r="C195" s="8" t="inlineStr">
        <is>
          <t>VietMode RS-84</t>
        </is>
      </c>
      <c r="D195" s="8" t="inlineStr">
        <is>
          <t>Outdoor</t>
        </is>
      </c>
      <c r="E195" s="7" t="inlineStr">
        <is>
          <t>Premium</t>
        </is>
      </c>
      <c r="F195" s="7" t="inlineStr">
        <is>
          <t>L</t>
        </is>
      </c>
      <c r="G195" s="7" t="inlineStr">
        <is>
          <t>green</t>
        </is>
      </c>
      <c r="H195" s="9" t="n">
        <v>5</v>
      </c>
      <c r="I195" s="9" t="n">
        <v>1</v>
      </c>
      <c r="J195" s="10" t="n">
        <v>1.333333333333333</v>
      </c>
      <c r="K195" s="10">
        <f>IFERROR(J195/30,0)</f>
        <v/>
      </c>
      <c r="L195" s="9" t="n">
        <v>0</v>
      </c>
      <c r="M195" s="11" t="n">
        <v>1</v>
      </c>
      <c r="N195" s="9" t="n">
        <v>0</v>
      </c>
      <c r="O195" s="9" t="n">
        <v>1</v>
      </c>
      <c r="P195" s="9" t="n">
        <v>0</v>
      </c>
      <c r="Q195" s="12" t="n">
        <v>0</v>
      </c>
      <c r="R195" s="12" t="n">
        <v>0</v>
      </c>
      <c r="S195" s="9">
        <f>H195+Q195-R195</f>
        <v/>
      </c>
      <c r="T195" s="12" t="n">
        <v>14</v>
      </c>
      <c r="U195" s="12" t="n">
        <v>7</v>
      </c>
      <c r="V195" s="12" t="n">
        <v>7</v>
      </c>
      <c r="W195" s="10">
        <f>K195*(T195+U195)</f>
        <v/>
      </c>
      <c r="X195" s="10">
        <f>K195*(T195+U195+V195)</f>
        <v/>
      </c>
      <c r="Y195" s="10">
        <f>IF(K195&gt;0,H195/K195,99999)</f>
        <v/>
      </c>
      <c r="Z195" s="8">
        <f>IF(AND(OR(L195&gt;=1,M195&lt;0.95),Y195&gt;120),"DATA CONFLICT - VERIFY",IF(OR(L195&gt;=1,M195&lt;0.95,Y195&lt;=14),"SERVICE / STOCKOUT REVIEW",IF(Y195&gt;120,"OVERSTOCK REVIEW",IF(S195&lt;=W195,"REPLENISHMENT REVIEW","NORMAL MONITORING"))))</f>
        <v/>
      </c>
      <c r="AA195" s="9">
        <f>IF(OR(Z195="DATA CONFLICT - VERIFY",Z195="SERVICE / STOCKOUT REVIEW"),0,IF(S195&lt;=W195,MAX(0,ROUNDUP(X195-S195,0)),0))</f>
        <v/>
      </c>
      <c r="AB195" s="8">
        <f>IF(Z195="DATA CONFLICT - VERIFY","P1 - DATA CONFLICT",IF(Z195="SERVICE / STOCKOUT REVIEW","P1 - SERVICE",IF(Z195="OVERSTOCK REVIEW","P2 - OVERSTOCK",IF(Z195="REPLENISHMENT REVIEW","P2 - REPLENISH","P3 - MONITOR"))))</f>
        <v/>
      </c>
      <c r="AC195" s="10" t="n">
        <v>5069.359166666667</v>
      </c>
      <c r="AD195" s="10" t="n">
        <v>3323.471869666667</v>
      </c>
      <c r="AE195" s="10">
        <f>IF(OR(AD195="",H195=""),"",H195*AD195)</f>
        <v/>
      </c>
    </row>
    <row r="196">
      <c r="A196" s="13" t="inlineStr">
        <is>
          <t>2022-12-31</t>
        </is>
      </c>
      <c r="B196" s="13" t="n">
        <v>1650</v>
      </c>
      <c r="C196" s="14" t="inlineStr">
        <is>
          <t>VietMode RS-88</t>
        </is>
      </c>
      <c r="D196" s="14" t="inlineStr">
        <is>
          <t>Outdoor</t>
        </is>
      </c>
      <c r="E196" s="13" t="inlineStr">
        <is>
          <t>Premium</t>
        </is>
      </c>
      <c r="F196" s="13" t="inlineStr">
        <is>
          <t>L</t>
        </is>
      </c>
      <c r="G196" s="13" t="inlineStr">
        <is>
          <t>red</t>
        </is>
      </c>
      <c r="H196" s="15" t="n">
        <v>69</v>
      </c>
      <c r="I196" s="15" t="n">
        <v>8</v>
      </c>
      <c r="J196" s="16" t="n">
        <v>5.666666666666667</v>
      </c>
      <c r="K196" s="16">
        <f>IFERROR(J196/30,0)</f>
        <v/>
      </c>
      <c r="L196" s="15" t="n">
        <v>2</v>
      </c>
      <c r="M196" s="17" t="n">
        <v>0.9333</v>
      </c>
      <c r="N196" s="15" t="n">
        <v>1</v>
      </c>
      <c r="O196" s="15" t="n">
        <v>1</v>
      </c>
      <c r="P196" s="15" t="n">
        <v>0</v>
      </c>
      <c r="Q196" s="12" t="n">
        <v>0</v>
      </c>
      <c r="R196" s="12" t="n">
        <v>0</v>
      </c>
      <c r="S196" s="15">
        <f>H196+Q196-R196</f>
        <v/>
      </c>
      <c r="T196" s="12" t="n">
        <v>14</v>
      </c>
      <c r="U196" s="12" t="n">
        <v>7</v>
      </c>
      <c r="V196" s="12" t="n">
        <v>7</v>
      </c>
      <c r="W196" s="16">
        <f>K196*(T196+U196)</f>
        <v/>
      </c>
      <c r="X196" s="16">
        <f>K196*(T196+U196+V196)</f>
        <v/>
      </c>
      <c r="Y196" s="16">
        <f>IF(K196&gt;0,H196/K196,99999)</f>
        <v/>
      </c>
      <c r="Z196" s="14">
        <f>IF(AND(OR(L196&gt;=1,M196&lt;0.95),Y196&gt;120),"DATA CONFLICT - VERIFY",IF(OR(L196&gt;=1,M196&lt;0.95,Y196&lt;=14),"SERVICE / STOCKOUT REVIEW",IF(Y196&gt;120,"OVERSTOCK REVIEW",IF(S196&lt;=W196,"REPLENISHMENT REVIEW","NORMAL MONITORING"))))</f>
        <v/>
      </c>
      <c r="AA196" s="15">
        <f>IF(OR(Z196="DATA CONFLICT - VERIFY",Z196="SERVICE / STOCKOUT REVIEW"),0,IF(S196&lt;=W196,MAX(0,ROUNDUP(X196-S196,0)),0))</f>
        <v/>
      </c>
      <c r="AB196" s="14">
        <f>IF(Z196="DATA CONFLICT - VERIFY","P1 - DATA CONFLICT",IF(Z196="SERVICE / STOCKOUT REVIEW","P1 - SERVICE",IF(Z196="OVERSTOCK REVIEW","P2 - OVERSTOCK",IF(Z196="REPLENISHMENT REVIEW","P2 - REPLENISH","P3 - MONITOR"))))</f>
        <v/>
      </c>
      <c r="AC196" s="16" t="n">
        <v>5909.284285714285</v>
      </c>
      <c r="AD196" s="16" t="n">
        <v>4975.617368571429</v>
      </c>
      <c r="AE196" s="16">
        <f>IF(OR(AD196="",H196=""),"",H196*AD196)</f>
        <v/>
      </c>
    </row>
    <row r="197">
      <c r="A197" s="7" t="inlineStr">
        <is>
          <t>2022-12-31</t>
        </is>
      </c>
      <c r="B197" s="7" t="n">
        <v>1651</v>
      </c>
      <c r="C197" s="8" t="inlineStr">
        <is>
          <t>VietMode RS-89</t>
        </is>
      </c>
      <c r="D197" s="8" t="inlineStr">
        <is>
          <t>Outdoor</t>
        </is>
      </c>
      <c r="E197" s="7" t="inlineStr">
        <is>
          <t>Premium</t>
        </is>
      </c>
      <c r="F197" s="7" t="inlineStr">
        <is>
          <t>XL</t>
        </is>
      </c>
      <c r="G197" s="7" t="inlineStr">
        <is>
          <t>black</t>
        </is>
      </c>
      <c r="H197" s="9" t="n">
        <v>3</v>
      </c>
      <c r="I197" s="9" t="n">
        <v>2</v>
      </c>
      <c r="J197" s="10" t="n">
        <v>1.666666666666667</v>
      </c>
      <c r="K197" s="10">
        <f>IFERROR(J197/30,0)</f>
        <v/>
      </c>
      <c r="L197" s="9" t="n">
        <v>0</v>
      </c>
      <c r="M197" s="11" t="n">
        <v>1</v>
      </c>
      <c r="N197" s="9" t="n">
        <v>0</v>
      </c>
      <c r="O197" s="9" t="n">
        <v>0</v>
      </c>
      <c r="P197" s="9" t="n">
        <v>0</v>
      </c>
      <c r="Q197" s="12" t="n">
        <v>0</v>
      </c>
      <c r="R197" s="12" t="n">
        <v>0</v>
      </c>
      <c r="S197" s="9">
        <f>H197+Q197-R197</f>
        <v/>
      </c>
      <c r="T197" s="12" t="n">
        <v>14</v>
      </c>
      <c r="U197" s="12" t="n">
        <v>7</v>
      </c>
      <c r="V197" s="12" t="n">
        <v>7</v>
      </c>
      <c r="W197" s="10">
        <f>K197*(T197+U197)</f>
        <v/>
      </c>
      <c r="X197" s="10">
        <f>K197*(T197+U197+V197)</f>
        <v/>
      </c>
      <c r="Y197" s="10">
        <f>IF(K197&gt;0,H197/K197,99999)</f>
        <v/>
      </c>
      <c r="Z197" s="8">
        <f>IF(AND(OR(L197&gt;=1,M197&lt;0.95),Y197&gt;120),"DATA CONFLICT - VERIFY",IF(OR(L197&gt;=1,M197&lt;0.95,Y197&lt;=14),"SERVICE / STOCKOUT REVIEW",IF(Y197&gt;120,"OVERSTOCK REVIEW",IF(S197&lt;=W197,"REPLENISHMENT REVIEW","NORMAL MONITORING"))))</f>
        <v/>
      </c>
      <c r="AA197" s="9">
        <f>IF(OR(Z197="DATA CONFLICT - VERIFY",Z197="SERVICE / STOCKOUT REVIEW"),0,IF(S197&lt;=W197,MAX(0,ROUNDUP(X197-S197,0)),0))</f>
        <v/>
      </c>
      <c r="AB197" s="8">
        <f>IF(Z197="DATA CONFLICT - VERIFY","P1 - DATA CONFLICT",IF(Z197="SERVICE / STOCKOUT REVIEW","P1 - SERVICE",IF(Z197="OVERSTOCK REVIEW","P2 - OVERSTOCK",IF(Z197="REPLENISHMENT REVIEW","P2 - REPLENISH","P3 - MONITOR"))))</f>
        <v/>
      </c>
      <c r="AC197" s="10" t="n">
        <v>6002.08875</v>
      </c>
      <c r="AD197" s="10" t="n">
        <v>5701.9843125</v>
      </c>
      <c r="AE197" s="10">
        <f>IF(OR(AD197="",H197=""),"",H197*AD197)</f>
        <v/>
      </c>
    </row>
    <row r="198">
      <c r="A198" s="13" t="inlineStr">
        <is>
          <t>2022-12-31</t>
        </is>
      </c>
      <c r="B198" s="13" t="n">
        <v>1657</v>
      </c>
      <c r="C198" s="14" t="inlineStr">
        <is>
          <t>VietMode RS-95</t>
        </is>
      </c>
      <c r="D198" s="14" t="inlineStr">
        <is>
          <t>Outdoor</t>
        </is>
      </c>
      <c r="E198" s="13" t="inlineStr">
        <is>
          <t>Premium</t>
        </is>
      </c>
      <c r="F198" s="13" t="inlineStr">
        <is>
          <t>M</t>
        </is>
      </c>
      <c r="G198" s="13" t="inlineStr">
        <is>
          <t>silver</t>
        </is>
      </c>
      <c r="H198" s="15" t="n">
        <v>12</v>
      </c>
      <c r="I198" s="15" t="n">
        <v>6</v>
      </c>
      <c r="J198" s="16" t="n">
        <v>3.666666666666667</v>
      </c>
      <c r="K198" s="16">
        <f>IFERROR(J198/30,0)</f>
        <v/>
      </c>
      <c r="L198" s="15" t="n">
        <v>0</v>
      </c>
      <c r="M198" s="17" t="n">
        <v>1</v>
      </c>
      <c r="N198" s="15" t="n">
        <v>0</v>
      </c>
      <c r="O198" s="15" t="n">
        <v>0</v>
      </c>
      <c r="P198" s="15" t="n">
        <v>0</v>
      </c>
      <c r="Q198" s="12" t="n">
        <v>0</v>
      </c>
      <c r="R198" s="12" t="n">
        <v>0</v>
      </c>
      <c r="S198" s="15">
        <f>H198+Q198-R198</f>
        <v/>
      </c>
      <c r="T198" s="12" t="n">
        <v>14</v>
      </c>
      <c r="U198" s="12" t="n">
        <v>7</v>
      </c>
      <c r="V198" s="12" t="n">
        <v>7</v>
      </c>
      <c r="W198" s="16">
        <f>K198*(T198+U198)</f>
        <v/>
      </c>
      <c r="X198" s="16">
        <f>K198*(T198+U198+V198)</f>
        <v/>
      </c>
      <c r="Y198" s="16">
        <f>IF(K198&gt;0,H198/K198,99999)</f>
        <v/>
      </c>
      <c r="Z198" s="14">
        <f>IF(AND(OR(L198&gt;=1,M198&lt;0.95),Y198&gt;120),"DATA CONFLICT - VERIFY",IF(OR(L198&gt;=1,M198&lt;0.95,Y198&lt;=14),"SERVICE / STOCKOUT REVIEW",IF(Y198&gt;120,"OVERSTOCK REVIEW",IF(S198&lt;=W198,"REPLENISHMENT REVIEW","NORMAL MONITORING"))))</f>
        <v/>
      </c>
      <c r="AA198" s="15">
        <f>IF(OR(Z198="DATA CONFLICT - VERIFY",Z198="SERVICE / STOCKOUT REVIEW"),0,IF(S198&lt;=W198,MAX(0,ROUNDUP(X198-S198,0)),0))</f>
        <v/>
      </c>
      <c r="AB198" s="14">
        <f>IF(Z198="DATA CONFLICT - VERIFY","P1 - DATA CONFLICT",IF(Z198="SERVICE / STOCKOUT REVIEW","P1 - SERVICE",IF(Z198="OVERSTOCK REVIEW","P2 - OVERSTOCK",IF(Z198="REPLENISHMENT REVIEW","P2 - REPLENISH","P3 - MONITOR"))))</f>
        <v/>
      </c>
      <c r="AC198" s="16" t="n">
        <v>4746.147777777777</v>
      </c>
      <c r="AD198" s="16" t="n">
        <v>3926.962671333333</v>
      </c>
      <c r="AE198" s="16">
        <f>IF(OR(AD198="",H198=""),"",H198*AD198)</f>
        <v/>
      </c>
    </row>
    <row r="199">
      <c r="A199" s="7" t="inlineStr">
        <is>
          <t>2022-12-31</t>
        </is>
      </c>
      <c r="B199" s="7" t="n">
        <v>1662</v>
      </c>
      <c r="C199" s="8" t="inlineStr">
        <is>
          <t>VietMode RS-00</t>
        </is>
      </c>
      <c r="D199" s="8" t="inlineStr">
        <is>
          <t>Outdoor</t>
        </is>
      </c>
      <c r="E199" s="7" t="inlineStr">
        <is>
          <t>Premium</t>
        </is>
      </c>
      <c r="F199" s="7" t="inlineStr">
        <is>
          <t>L</t>
        </is>
      </c>
      <c r="G199" s="7" t="inlineStr">
        <is>
          <t>orange</t>
        </is>
      </c>
      <c r="H199" s="9" t="n">
        <v>3</v>
      </c>
      <c r="I199" s="9" t="n">
        <v>1</v>
      </c>
      <c r="J199" s="10" t="n">
        <v>2</v>
      </c>
      <c r="K199" s="10">
        <f>IFERROR(J199/30,0)</f>
        <v/>
      </c>
      <c r="L199" s="9" t="n">
        <v>2</v>
      </c>
      <c r="M199" s="11" t="n">
        <v>0.9333</v>
      </c>
      <c r="N199" s="9" t="n">
        <v>1</v>
      </c>
      <c r="O199" s="9" t="n">
        <v>0</v>
      </c>
      <c r="P199" s="9" t="n">
        <v>0</v>
      </c>
      <c r="Q199" s="12" t="n">
        <v>0</v>
      </c>
      <c r="R199" s="12" t="n">
        <v>0</v>
      </c>
      <c r="S199" s="9">
        <f>H199+Q199-R199</f>
        <v/>
      </c>
      <c r="T199" s="12" t="n">
        <v>14</v>
      </c>
      <c r="U199" s="12" t="n">
        <v>7</v>
      </c>
      <c r="V199" s="12" t="n">
        <v>7</v>
      </c>
      <c r="W199" s="10">
        <f>K199*(T199+U199)</f>
        <v/>
      </c>
      <c r="X199" s="10">
        <f>K199*(T199+U199+V199)</f>
        <v/>
      </c>
      <c r="Y199" s="10">
        <f>IF(K199&gt;0,H199/K199,99999)</f>
        <v/>
      </c>
      <c r="Z199" s="8">
        <f>IF(AND(OR(L199&gt;=1,M199&lt;0.95),Y199&gt;120),"DATA CONFLICT - VERIFY",IF(OR(L199&gt;=1,M199&lt;0.95,Y199&lt;=14),"SERVICE / STOCKOUT REVIEW",IF(Y199&gt;120,"OVERSTOCK REVIEW",IF(S199&lt;=W199,"REPLENISHMENT REVIEW","NORMAL MONITORING"))))</f>
        <v/>
      </c>
      <c r="AA199" s="9">
        <f>IF(OR(Z199="DATA CONFLICT - VERIFY",Z199="SERVICE / STOCKOUT REVIEW"),0,IF(S199&lt;=W199,MAX(0,ROUNDUP(X199-S199,0)),0))</f>
        <v/>
      </c>
      <c r="AB199" s="8">
        <f>IF(Z199="DATA CONFLICT - VERIFY","P1 - DATA CONFLICT",IF(Z199="SERVICE / STOCKOUT REVIEW","P1 - SERVICE",IF(Z199="OVERSTOCK REVIEW","P2 - OVERSTOCK",IF(Z199="REPLENISHMENT REVIEW","P2 - REPLENISH","P3 - MONITOR"))))</f>
        <v/>
      </c>
      <c r="AC199" s="10" t="n">
        <v>2078.37</v>
      </c>
      <c r="AD199" s="10" t="n">
        <v>1489.567779</v>
      </c>
      <c r="AE199" s="10">
        <f>IF(OR(AD199="",H199=""),"",H199*AD199)</f>
        <v/>
      </c>
    </row>
    <row r="200">
      <c r="A200" s="13" t="inlineStr">
        <is>
          <t>2022-12-31</t>
        </is>
      </c>
      <c r="B200" s="13" t="n">
        <v>1666</v>
      </c>
      <c r="C200" s="14" t="inlineStr">
        <is>
          <t>VietMode RS-04</t>
        </is>
      </c>
      <c r="D200" s="14" t="inlineStr">
        <is>
          <t>Outdoor</t>
        </is>
      </c>
      <c r="E200" s="13" t="inlineStr">
        <is>
          <t>Premium</t>
        </is>
      </c>
      <c r="F200" s="13" t="inlineStr">
        <is>
          <t>L</t>
        </is>
      </c>
      <c r="G200" s="13" t="inlineStr">
        <is>
          <t>green</t>
        </is>
      </c>
      <c r="H200" s="15" t="n">
        <v>21</v>
      </c>
      <c r="I200" s="15" t="n">
        <v>6</v>
      </c>
      <c r="J200" s="16" t="n">
        <v>4.666666666666667</v>
      </c>
      <c r="K200" s="16">
        <f>IFERROR(J200/30,0)</f>
        <v/>
      </c>
      <c r="L200" s="15" t="n">
        <v>2</v>
      </c>
      <c r="M200" s="17" t="n">
        <v>0.9333</v>
      </c>
      <c r="N200" s="15" t="n">
        <v>1</v>
      </c>
      <c r="O200" s="15" t="n">
        <v>1</v>
      </c>
      <c r="P200" s="15" t="n">
        <v>0</v>
      </c>
      <c r="Q200" s="12" t="n">
        <v>0</v>
      </c>
      <c r="R200" s="12" t="n">
        <v>0</v>
      </c>
      <c r="S200" s="15">
        <f>H200+Q200-R200</f>
        <v/>
      </c>
      <c r="T200" s="12" t="n">
        <v>14</v>
      </c>
      <c r="U200" s="12" t="n">
        <v>7</v>
      </c>
      <c r="V200" s="12" t="n">
        <v>7</v>
      </c>
      <c r="W200" s="16">
        <f>K200*(T200+U200)</f>
        <v/>
      </c>
      <c r="X200" s="16">
        <f>K200*(T200+U200+V200)</f>
        <v/>
      </c>
      <c r="Y200" s="16">
        <f>IF(K200&gt;0,H200/K200,99999)</f>
        <v/>
      </c>
      <c r="Z200" s="14">
        <f>IF(AND(OR(L200&gt;=1,M200&lt;0.95),Y200&gt;120),"DATA CONFLICT - VERIFY",IF(OR(L200&gt;=1,M200&lt;0.95,Y200&lt;=14),"SERVICE / STOCKOUT REVIEW",IF(Y200&gt;120,"OVERSTOCK REVIEW",IF(S200&lt;=W200,"REPLENISHMENT REVIEW","NORMAL MONITORING"))))</f>
        <v/>
      </c>
      <c r="AA200" s="15">
        <f>IF(OR(Z200="DATA CONFLICT - VERIFY",Z200="SERVICE / STOCKOUT REVIEW"),0,IF(S200&lt;=W200,MAX(0,ROUNDUP(X200-S200,0)),0))</f>
        <v/>
      </c>
      <c r="AB200" s="14">
        <f>IF(Z200="DATA CONFLICT - VERIFY","P1 - DATA CONFLICT",IF(Z200="SERVICE / STOCKOUT REVIEW","P1 - SERVICE",IF(Z200="OVERSTOCK REVIEW","P2 - OVERSTOCK",IF(Z200="REPLENISHMENT REVIEW","P2 - REPLENISH","P3 - MONITOR"))))</f>
        <v/>
      </c>
      <c r="AC200" s="16" t="n">
        <v>2847.542727272727</v>
      </c>
      <c r="AD200" s="16" t="n">
        <v>2029.158947454545</v>
      </c>
      <c r="AE200" s="16">
        <f>IF(OR(AD200="",H200=""),"",H200*AD200)</f>
        <v/>
      </c>
    </row>
    <row r="201">
      <c r="A201" s="7" t="inlineStr">
        <is>
          <t>2022-12-31</t>
        </is>
      </c>
      <c r="B201" s="7" t="n">
        <v>1667</v>
      </c>
      <c r="C201" s="8" t="inlineStr">
        <is>
          <t>VietMode RS-05</t>
        </is>
      </c>
      <c r="D201" s="8" t="inlineStr">
        <is>
          <t>Outdoor</t>
        </is>
      </c>
      <c r="E201" s="7" t="inlineStr">
        <is>
          <t>Premium</t>
        </is>
      </c>
      <c r="F201" s="7" t="inlineStr">
        <is>
          <t>XL</t>
        </is>
      </c>
      <c r="G201" s="7" t="inlineStr">
        <is>
          <t>silver</t>
        </is>
      </c>
      <c r="H201" s="9" t="n">
        <v>6</v>
      </c>
      <c r="I201" s="9" t="n">
        <v>1</v>
      </c>
      <c r="J201" s="10" t="n">
        <v>1.666666666666667</v>
      </c>
      <c r="K201" s="10">
        <f>IFERROR(J201/30,0)</f>
        <v/>
      </c>
      <c r="L201" s="9" t="n">
        <v>0</v>
      </c>
      <c r="M201" s="11" t="n">
        <v>1</v>
      </c>
      <c r="N201" s="9" t="n">
        <v>0</v>
      </c>
      <c r="O201" s="9" t="n">
        <v>1</v>
      </c>
      <c r="P201" s="9" t="n">
        <v>0</v>
      </c>
      <c r="Q201" s="12" t="n">
        <v>0</v>
      </c>
      <c r="R201" s="12" t="n">
        <v>0</v>
      </c>
      <c r="S201" s="9">
        <f>H201+Q201-R201</f>
        <v/>
      </c>
      <c r="T201" s="12" t="n">
        <v>14</v>
      </c>
      <c r="U201" s="12" t="n">
        <v>7</v>
      </c>
      <c r="V201" s="12" t="n">
        <v>7</v>
      </c>
      <c r="W201" s="10">
        <f>K201*(T201+U201)</f>
        <v/>
      </c>
      <c r="X201" s="10">
        <f>K201*(T201+U201+V201)</f>
        <v/>
      </c>
      <c r="Y201" s="10">
        <f>IF(K201&gt;0,H201/K201,99999)</f>
        <v/>
      </c>
      <c r="Z201" s="8">
        <f>IF(AND(OR(L201&gt;=1,M201&lt;0.95),Y201&gt;120),"DATA CONFLICT - VERIFY",IF(OR(L201&gt;=1,M201&lt;0.95,Y201&lt;=14),"SERVICE / STOCKOUT REVIEW",IF(Y201&gt;120,"OVERSTOCK REVIEW",IF(S201&lt;=W201,"REPLENISHMENT REVIEW","NORMAL MONITORING"))))</f>
        <v/>
      </c>
      <c r="AA201" s="9">
        <f>IF(OR(Z201="DATA CONFLICT - VERIFY",Z201="SERVICE / STOCKOUT REVIEW"),0,IF(S201&lt;=W201,MAX(0,ROUNDUP(X201-S201,0)),0))</f>
        <v/>
      </c>
      <c r="AB201" s="8">
        <f>IF(Z201="DATA CONFLICT - VERIFY","P1 - DATA CONFLICT",IF(Z201="SERVICE / STOCKOUT REVIEW","P1 - SERVICE",IF(Z201="OVERSTOCK REVIEW","P2 - OVERSTOCK",IF(Z201="REPLENISHMENT REVIEW","P2 - REPLENISH","P3 - MONITOR"))))</f>
        <v/>
      </c>
      <c r="AC201" s="10" t="n">
        <v>4426.664117647058</v>
      </c>
      <c r="AD201" s="10" t="n">
        <v>3156.654182294118</v>
      </c>
      <c r="AE201" s="10">
        <f>IF(OR(AD201="",H201=""),"",H201*AD201)</f>
        <v/>
      </c>
    </row>
    <row r="202">
      <c r="A202" s="13" t="inlineStr">
        <is>
          <t>2022-12-31</t>
        </is>
      </c>
      <c r="B202" s="13" t="n">
        <v>1940</v>
      </c>
      <c r="C202" s="14" t="inlineStr">
        <is>
          <t>UrbanVN RP-15</t>
        </is>
      </c>
      <c r="D202" s="14" t="inlineStr">
        <is>
          <t>Outdoor</t>
        </is>
      </c>
      <c r="E202" s="13" t="inlineStr">
        <is>
          <t>Activewear</t>
        </is>
      </c>
      <c r="F202" s="13" t="inlineStr">
        <is>
          <t>S</t>
        </is>
      </c>
      <c r="G202" s="13" t="inlineStr">
        <is>
          <t>red</t>
        </is>
      </c>
      <c r="H202" s="15" t="n">
        <v>22</v>
      </c>
      <c r="I202" s="15" t="n">
        <v>1</v>
      </c>
      <c r="J202" s="16" t="n">
        <v>1</v>
      </c>
      <c r="K202" s="16">
        <f>IFERROR(J202/30,0)</f>
        <v/>
      </c>
      <c r="L202" s="15" t="n">
        <v>1</v>
      </c>
      <c r="M202" s="17" t="n">
        <v>0.9667</v>
      </c>
      <c r="N202" s="15" t="n">
        <v>1</v>
      </c>
      <c r="O202" s="15" t="n">
        <v>1</v>
      </c>
      <c r="P202" s="15" t="n">
        <v>0</v>
      </c>
      <c r="Q202" s="12" t="n">
        <v>0</v>
      </c>
      <c r="R202" s="12" t="n">
        <v>0</v>
      </c>
      <c r="S202" s="15">
        <f>H202+Q202-R202</f>
        <v/>
      </c>
      <c r="T202" s="12" t="n">
        <v>14</v>
      </c>
      <c r="U202" s="12" t="n">
        <v>7</v>
      </c>
      <c r="V202" s="12" t="n">
        <v>7</v>
      </c>
      <c r="W202" s="16">
        <f>K202*(T202+U202)</f>
        <v/>
      </c>
      <c r="X202" s="16">
        <f>K202*(T202+U202+V202)</f>
        <v/>
      </c>
      <c r="Y202" s="16">
        <f>IF(K202&gt;0,H202/K202,99999)</f>
        <v/>
      </c>
      <c r="Z202" s="14">
        <f>IF(AND(OR(L202&gt;=1,M202&lt;0.95),Y202&gt;120),"DATA CONFLICT - VERIFY",IF(OR(L202&gt;=1,M202&lt;0.95,Y202&lt;=14),"SERVICE / STOCKOUT REVIEW",IF(Y202&gt;120,"OVERSTOCK REVIEW",IF(S202&lt;=W202,"REPLENISHMENT REVIEW","NORMAL MONITORING"))))</f>
        <v/>
      </c>
      <c r="AA202" s="15">
        <f>IF(OR(Z202="DATA CONFLICT - VERIFY",Z202="SERVICE / STOCKOUT REVIEW"),0,IF(S202&lt;=W202,MAX(0,ROUNDUP(X202-S202,0)),0))</f>
        <v/>
      </c>
      <c r="AB202" s="14">
        <f>IF(Z202="DATA CONFLICT - VERIFY","P1 - DATA CONFLICT",IF(Z202="SERVICE / STOCKOUT REVIEW","P1 - SERVICE",IF(Z202="OVERSTOCK REVIEW","P2 - OVERSTOCK",IF(Z202="REPLENISHMENT REVIEW","P2 - REPLENISH","P3 - MONITOR"))))</f>
        <v/>
      </c>
      <c r="AC202" s="16" t="n">
        <v>2011.357261146497</v>
      </c>
      <c r="AD202" s="16" t="n">
        <v>1582.334757343949</v>
      </c>
      <c r="AE202" s="16">
        <f>IF(OR(AD202="",H202=""),"",H202*AD202)</f>
        <v/>
      </c>
    </row>
    <row r="203">
      <c r="A203" s="7" t="inlineStr">
        <is>
          <t>2022-12-31</t>
        </is>
      </c>
      <c r="B203" s="7" t="n">
        <v>1941</v>
      </c>
      <c r="C203" s="8" t="inlineStr">
        <is>
          <t>UrbanVN RP-16</t>
        </is>
      </c>
      <c r="D203" s="8" t="inlineStr">
        <is>
          <t>Outdoor</t>
        </is>
      </c>
      <c r="E203" s="7" t="inlineStr">
        <is>
          <t>Activewear</t>
        </is>
      </c>
      <c r="F203" s="7" t="inlineStr">
        <is>
          <t>M</t>
        </is>
      </c>
      <c r="G203" s="7" t="inlineStr">
        <is>
          <t>black</t>
        </is>
      </c>
      <c r="H203" s="9" t="n">
        <v>20</v>
      </c>
      <c r="I203" s="9" t="n">
        <v>1</v>
      </c>
      <c r="J203" s="10" t="n">
        <v>1</v>
      </c>
      <c r="K203" s="10">
        <f>IFERROR(J203/30,0)</f>
        <v/>
      </c>
      <c r="L203" s="9" t="n">
        <v>2</v>
      </c>
      <c r="M203" s="11" t="n">
        <v>0.9333</v>
      </c>
      <c r="N203" s="9" t="n">
        <v>1</v>
      </c>
      <c r="O203" s="9" t="n">
        <v>1</v>
      </c>
      <c r="P203" s="9" t="n">
        <v>0</v>
      </c>
      <c r="Q203" s="12" t="n">
        <v>0</v>
      </c>
      <c r="R203" s="12" t="n">
        <v>0</v>
      </c>
      <c r="S203" s="9">
        <f>H203+Q203-R203</f>
        <v/>
      </c>
      <c r="T203" s="12" t="n">
        <v>14</v>
      </c>
      <c r="U203" s="12" t="n">
        <v>7</v>
      </c>
      <c r="V203" s="12" t="n">
        <v>7</v>
      </c>
      <c r="W203" s="10">
        <f>K203*(T203+U203)</f>
        <v/>
      </c>
      <c r="X203" s="10">
        <f>K203*(T203+U203+V203)</f>
        <v/>
      </c>
      <c r="Y203" s="10">
        <f>IF(K203&gt;0,H203/K203,99999)</f>
        <v/>
      </c>
      <c r="Z203" s="8">
        <f>IF(AND(OR(L203&gt;=1,M203&lt;0.95),Y203&gt;120),"DATA CONFLICT - VERIFY",IF(OR(L203&gt;=1,M203&lt;0.95,Y203&lt;=14),"SERVICE / STOCKOUT REVIEW",IF(Y203&gt;120,"OVERSTOCK REVIEW",IF(S203&lt;=W203,"REPLENISHMENT REVIEW","NORMAL MONITORING"))))</f>
        <v/>
      </c>
      <c r="AA203" s="9">
        <f>IF(OR(Z203="DATA CONFLICT - VERIFY",Z203="SERVICE / STOCKOUT REVIEW"),0,IF(S203&lt;=W203,MAX(0,ROUNDUP(X203-S203,0)),0))</f>
        <v/>
      </c>
      <c r="AB203" s="8">
        <f>IF(Z203="DATA CONFLICT - VERIFY","P1 - DATA CONFLICT",IF(Z203="SERVICE / STOCKOUT REVIEW","P1 - SERVICE",IF(Z203="OVERSTOCK REVIEW","P2 - OVERSTOCK",IF(Z203="REPLENISHMENT REVIEW","P2 - REPLENISH","P3 - MONITOR"))))</f>
        <v/>
      </c>
      <c r="AC203" s="10" t="n">
        <v>2011.357261146497</v>
      </c>
      <c r="AD203" s="10" t="n">
        <v>1626.182345636943</v>
      </c>
      <c r="AE203" s="10">
        <f>IF(OR(AD203="",H203=""),"",H203*AD203)</f>
        <v/>
      </c>
    </row>
    <row r="204">
      <c r="A204" s="13" t="inlineStr">
        <is>
          <t>2022-12-31</t>
        </is>
      </c>
      <c r="B204" s="13" t="n">
        <v>1942</v>
      </c>
      <c r="C204" s="14" t="inlineStr">
        <is>
          <t>UrbanVN RP-17</t>
        </is>
      </c>
      <c r="D204" s="14" t="inlineStr">
        <is>
          <t>Outdoor</t>
        </is>
      </c>
      <c r="E204" s="13" t="inlineStr">
        <is>
          <t>Activewear</t>
        </is>
      </c>
      <c r="F204" s="13" t="inlineStr">
        <is>
          <t>L</t>
        </is>
      </c>
      <c r="G204" s="13" t="inlineStr">
        <is>
          <t>orange</t>
        </is>
      </c>
      <c r="H204" s="15" t="n">
        <v>194</v>
      </c>
      <c r="I204" s="15" t="n">
        <v>1</v>
      </c>
      <c r="J204" s="16" t="n">
        <v>2.333333333333333</v>
      </c>
      <c r="K204" s="16">
        <f>IFERROR(J204/30,0)</f>
        <v/>
      </c>
      <c r="L204" s="15" t="n">
        <v>1</v>
      </c>
      <c r="M204" s="17" t="n">
        <v>0.9667</v>
      </c>
      <c r="N204" s="15" t="n">
        <v>1</v>
      </c>
      <c r="O204" s="15" t="n">
        <v>1</v>
      </c>
      <c r="P204" s="15" t="n">
        <v>0</v>
      </c>
      <c r="Q204" s="12" t="n">
        <v>0</v>
      </c>
      <c r="R204" s="12" t="n">
        <v>0</v>
      </c>
      <c r="S204" s="15">
        <f>H204+Q204-R204</f>
        <v/>
      </c>
      <c r="T204" s="12" t="n">
        <v>14</v>
      </c>
      <c r="U204" s="12" t="n">
        <v>7</v>
      </c>
      <c r="V204" s="12" t="n">
        <v>7</v>
      </c>
      <c r="W204" s="16">
        <f>K204*(T204+U204)</f>
        <v/>
      </c>
      <c r="X204" s="16">
        <f>K204*(T204+U204+V204)</f>
        <v/>
      </c>
      <c r="Y204" s="16">
        <f>IF(K204&gt;0,H204/K204,99999)</f>
        <v/>
      </c>
      <c r="Z204" s="14">
        <f>IF(AND(OR(L204&gt;=1,M204&lt;0.95),Y204&gt;120),"DATA CONFLICT - VERIFY",IF(OR(L204&gt;=1,M204&lt;0.95,Y204&lt;=14),"SERVICE / STOCKOUT REVIEW",IF(Y204&gt;120,"OVERSTOCK REVIEW",IF(S204&lt;=W204,"REPLENISHMENT REVIEW","NORMAL MONITORING"))))</f>
        <v/>
      </c>
      <c r="AA204" s="15">
        <f>IF(OR(Z204="DATA CONFLICT - VERIFY",Z204="SERVICE / STOCKOUT REVIEW"),0,IF(S204&lt;=W204,MAX(0,ROUNDUP(X204-S204,0)),0))</f>
        <v/>
      </c>
      <c r="AB204" s="14">
        <f>IF(Z204="DATA CONFLICT - VERIFY","P1 - DATA CONFLICT",IF(Z204="SERVICE / STOCKOUT REVIEW","P1 - SERVICE",IF(Z204="OVERSTOCK REVIEW","P2 - OVERSTOCK",IF(Z204="REPLENISHMENT REVIEW","P2 - REPLENISH","P3 - MONITOR"))))</f>
        <v/>
      </c>
      <c r="AC204" s="16" t="n">
        <v>1481.996824817518</v>
      </c>
      <c r="AD204" s="16" t="n">
        <v>1407.896983576642</v>
      </c>
      <c r="AE204" s="16">
        <f>IF(OR(AD204="",H204=""),"",H204*AD204)</f>
        <v/>
      </c>
    </row>
    <row r="205">
      <c r="A205" s="7" t="inlineStr">
        <is>
          <t>2022-12-31</t>
        </is>
      </c>
      <c r="B205" s="7" t="n">
        <v>1943</v>
      </c>
      <c r="C205" s="8" t="inlineStr">
        <is>
          <t>UrbanVN RP-18</t>
        </is>
      </c>
      <c r="D205" s="8" t="inlineStr">
        <is>
          <t>Outdoor</t>
        </is>
      </c>
      <c r="E205" s="7" t="inlineStr">
        <is>
          <t>Activewear</t>
        </is>
      </c>
      <c r="F205" s="7" t="inlineStr">
        <is>
          <t>XL</t>
        </is>
      </c>
      <c r="G205" s="7" t="inlineStr">
        <is>
          <t>blue</t>
        </is>
      </c>
      <c r="H205" s="9" t="n">
        <v>188</v>
      </c>
      <c r="I205" s="9" t="n">
        <v>1</v>
      </c>
      <c r="J205" s="10" t="n">
        <v>2.333333333333333</v>
      </c>
      <c r="K205" s="10">
        <f>IFERROR(J205/30,0)</f>
        <v/>
      </c>
      <c r="L205" s="9" t="n">
        <v>1</v>
      </c>
      <c r="M205" s="11" t="n">
        <v>0.9667</v>
      </c>
      <c r="N205" s="9" t="n">
        <v>1</v>
      </c>
      <c r="O205" s="9" t="n">
        <v>1</v>
      </c>
      <c r="P205" s="9" t="n">
        <v>0</v>
      </c>
      <c r="Q205" s="12" t="n">
        <v>0</v>
      </c>
      <c r="R205" s="12" t="n">
        <v>0</v>
      </c>
      <c r="S205" s="9">
        <f>H205+Q205-R205</f>
        <v/>
      </c>
      <c r="T205" s="12" t="n">
        <v>14</v>
      </c>
      <c r="U205" s="12" t="n">
        <v>7</v>
      </c>
      <c r="V205" s="12" t="n">
        <v>7</v>
      </c>
      <c r="W205" s="10">
        <f>K205*(T205+U205)</f>
        <v/>
      </c>
      <c r="X205" s="10">
        <f>K205*(T205+U205+V205)</f>
        <v/>
      </c>
      <c r="Y205" s="10">
        <f>IF(K205&gt;0,H205/K205,99999)</f>
        <v/>
      </c>
      <c r="Z205" s="8">
        <f>IF(AND(OR(L205&gt;=1,M205&lt;0.95),Y205&gt;120),"DATA CONFLICT - VERIFY",IF(OR(L205&gt;=1,M205&lt;0.95,Y205&lt;=14),"SERVICE / STOCKOUT REVIEW",IF(Y205&gt;120,"OVERSTOCK REVIEW",IF(S205&lt;=W205,"REPLENISHMENT REVIEW","NORMAL MONITORING"))))</f>
        <v/>
      </c>
      <c r="AA205" s="9">
        <f>IF(OR(Z205="DATA CONFLICT - VERIFY",Z205="SERVICE / STOCKOUT REVIEW"),0,IF(S205&lt;=W205,MAX(0,ROUNDUP(X205-S205,0)),0))</f>
        <v/>
      </c>
      <c r="AB205" s="8">
        <f>IF(Z205="DATA CONFLICT - VERIFY","P1 - DATA CONFLICT",IF(Z205="SERVICE / STOCKOUT REVIEW","P1 - SERVICE",IF(Z205="OVERSTOCK REVIEW","P2 - OVERSTOCK",IF(Z205="REPLENISHMENT REVIEW","P2 - REPLENISH","P3 - MONITOR"))))</f>
        <v/>
      </c>
      <c r="AC205" s="10" t="n">
        <v>1481.996824817518</v>
      </c>
      <c r="AD205" s="10" t="n">
        <v>1063.777320854014</v>
      </c>
      <c r="AE205" s="10">
        <f>IF(OR(AD205="",H205=""),"",H205*AD205)</f>
        <v/>
      </c>
    </row>
    <row r="206">
      <c r="A206" s="13" t="inlineStr">
        <is>
          <t>2022-12-31</t>
        </is>
      </c>
      <c r="B206" s="13" t="n">
        <v>1982</v>
      </c>
      <c r="C206" s="14" t="inlineStr">
        <is>
          <t>UrbanVN RS-01</t>
        </is>
      </c>
      <c r="D206" s="14" t="inlineStr">
        <is>
          <t>Outdoor</t>
        </is>
      </c>
      <c r="E206" s="13" t="inlineStr">
        <is>
          <t>Premium</t>
        </is>
      </c>
      <c r="F206" s="13" t="inlineStr">
        <is>
          <t>L</t>
        </is>
      </c>
      <c r="G206" s="13" t="inlineStr">
        <is>
          <t>orange</t>
        </is>
      </c>
      <c r="H206" s="15" t="n">
        <v>324</v>
      </c>
      <c r="I206" s="15" t="n">
        <v>11</v>
      </c>
      <c r="J206" s="16" t="n">
        <v>11.33333333333333</v>
      </c>
      <c r="K206" s="16">
        <f>IFERROR(J206/30,0)</f>
        <v/>
      </c>
      <c r="L206" s="15" t="n">
        <v>0</v>
      </c>
      <c r="M206" s="17" t="n">
        <v>1</v>
      </c>
      <c r="N206" s="15" t="n">
        <v>0</v>
      </c>
      <c r="O206" s="15" t="n">
        <v>1</v>
      </c>
      <c r="P206" s="15" t="n">
        <v>0</v>
      </c>
      <c r="Q206" s="12" t="n">
        <v>0</v>
      </c>
      <c r="R206" s="12" t="n">
        <v>0</v>
      </c>
      <c r="S206" s="15">
        <f>H206+Q206-R206</f>
        <v/>
      </c>
      <c r="T206" s="12" t="n">
        <v>14</v>
      </c>
      <c r="U206" s="12" t="n">
        <v>7</v>
      </c>
      <c r="V206" s="12" t="n">
        <v>7</v>
      </c>
      <c r="W206" s="16">
        <f>K206*(T206+U206)</f>
        <v/>
      </c>
      <c r="X206" s="16">
        <f>K206*(T206+U206+V206)</f>
        <v/>
      </c>
      <c r="Y206" s="16">
        <f>IF(K206&gt;0,H206/K206,99999)</f>
        <v/>
      </c>
      <c r="Z206" s="14">
        <f>IF(AND(OR(L206&gt;=1,M206&lt;0.95),Y206&gt;120),"DATA CONFLICT - VERIFY",IF(OR(L206&gt;=1,M206&lt;0.95,Y206&lt;=14),"SERVICE / STOCKOUT REVIEW",IF(Y206&gt;120,"OVERSTOCK REVIEW",IF(S206&lt;=W206,"REPLENISHMENT REVIEW","NORMAL MONITORING"))))</f>
        <v/>
      </c>
      <c r="AA206" s="15">
        <f>IF(OR(Z206="DATA CONFLICT - VERIFY",Z206="SERVICE / STOCKOUT REVIEW"),0,IF(S206&lt;=W206,MAX(0,ROUNDUP(X206-S206,0)),0))</f>
        <v/>
      </c>
      <c r="AB206" s="14">
        <f>IF(Z206="DATA CONFLICT - VERIFY","P1 - DATA CONFLICT",IF(Z206="SERVICE / STOCKOUT REVIEW","P1 - SERVICE",IF(Z206="OVERSTOCK REVIEW","P2 - OVERSTOCK",IF(Z206="REPLENISHMENT REVIEW","P2 - REPLENISH","P3 - MONITOR"))))</f>
        <v/>
      </c>
      <c r="AC206" s="16" t="n">
        <v>3984.92421686747</v>
      </c>
      <c r="AD206" s="16" t="n">
        <v>3601.972999626506</v>
      </c>
      <c r="AE206" s="16">
        <f>IF(OR(AD206="",H206=""),"",H206*AD206)</f>
        <v/>
      </c>
    </row>
    <row r="207">
      <c r="A207" s="7" t="inlineStr">
        <is>
          <t>2022-12-31</t>
        </is>
      </c>
      <c r="B207" s="7" t="n">
        <v>1989</v>
      </c>
      <c r="C207" s="8" t="inlineStr">
        <is>
          <t>UrbanVN RS-08</t>
        </is>
      </c>
      <c r="D207" s="8" t="inlineStr">
        <is>
          <t>Outdoor</t>
        </is>
      </c>
      <c r="E207" s="7" t="inlineStr">
        <is>
          <t>Premium</t>
        </is>
      </c>
      <c r="F207" s="7" t="inlineStr">
        <is>
          <t>M</t>
        </is>
      </c>
      <c r="G207" s="7" t="inlineStr">
        <is>
          <t>yellow</t>
        </is>
      </c>
      <c r="H207" s="9" t="n">
        <v>269</v>
      </c>
      <c r="I207" s="9" t="n">
        <v>14</v>
      </c>
      <c r="J207" s="10" t="n">
        <v>12.66666666666667</v>
      </c>
      <c r="K207" s="10">
        <f>IFERROR(J207/30,0)</f>
        <v/>
      </c>
      <c r="L207" s="9" t="n">
        <v>0</v>
      </c>
      <c r="M207" s="11" t="n">
        <v>1</v>
      </c>
      <c r="N207" s="9" t="n">
        <v>0</v>
      </c>
      <c r="O207" s="9" t="n">
        <v>1</v>
      </c>
      <c r="P207" s="9" t="n">
        <v>0</v>
      </c>
      <c r="Q207" s="12" t="n">
        <v>0</v>
      </c>
      <c r="R207" s="12" t="n">
        <v>0</v>
      </c>
      <c r="S207" s="9">
        <f>H207+Q207-R207</f>
        <v/>
      </c>
      <c r="T207" s="12" t="n">
        <v>14</v>
      </c>
      <c r="U207" s="12" t="n">
        <v>7</v>
      </c>
      <c r="V207" s="12" t="n">
        <v>7</v>
      </c>
      <c r="W207" s="10">
        <f>K207*(T207+U207)</f>
        <v/>
      </c>
      <c r="X207" s="10">
        <f>K207*(T207+U207+V207)</f>
        <v/>
      </c>
      <c r="Y207" s="10">
        <f>IF(K207&gt;0,H207/K207,99999)</f>
        <v/>
      </c>
      <c r="Z207" s="8">
        <f>IF(AND(OR(L207&gt;=1,M207&lt;0.95),Y207&gt;120),"DATA CONFLICT - VERIFY",IF(OR(L207&gt;=1,M207&lt;0.95,Y207&lt;=14),"SERVICE / STOCKOUT REVIEW",IF(Y207&gt;120,"OVERSTOCK REVIEW",IF(S207&lt;=W207,"REPLENISHMENT REVIEW","NORMAL MONITORING"))))</f>
        <v/>
      </c>
      <c r="AA207" s="9">
        <f>IF(OR(Z207="DATA CONFLICT - VERIFY",Z207="SERVICE / STOCKOUT REVIEW"),0,IF(S207&lt;=W207,MAX(0,ROUNDUP(X207-S207,0)),0))</f>
        <v/>
      </c>
      <c r="AB207" s="8">
        <f>IF(Z207="DATA CONFLICT - VERIFY","P1 - DATA CONFLICT",IF(Z207="SERVICE / STOCKOUT REVIEW","P1 - SERVICE",IF(Z207="OVERSTOCK REVIEW","P2 - OVERSTOCK",IF(Z207="REPLENISHMENT REVIEW","P2 - REPLENISH","P3 - MONITOR"))))</f>
        <v/>
      </c>
      <c r="AC207" s="10" t="n">
        <v>4632.064512946979</v>
      </c>
      <c r="AD207" s="10" t="n">
        <v>4400.461287299629</v>
      </c>
      <c r="AE207" s="10">
        <f>IF(OR(AD207="",H207=""),"",H207*AD207)</f>
        <v/>
      </c>
    </row>
    <row r="208">
      <c r="A208" s="13" t="inlineStr">
        <is>
          <t>2022-12-31</t>
        </is>
      </c>
      <c r="B208" s="13" t="n">
        <v>2206</v>
      </c>
      <c r="C208" s="14" t="inlineStr">
        <is>
          <t>VietMotion RP-03</t>
        </is>
      </c>
      <c r="D208" s="14" t="inlineStr">
        <is>
          <t>Outdoor</t>
        </is>
      </c>
      <c r="E208" s="13" t="inlineStr">
        <is>
          <t>Activewear</t>
        </is>
      </c>
      <c r="F208" s="13" t="inlineStr">
        <is>
          <t>L</t>
        </is>
      </c>
      <c r="G208" s="13" t="inlineStr">
        <is>
          <t>green</t>
        </is>
      </c>
      <c r="H208" s="15" t="n">
        <v>348</v>
      </c>
      <c r="I208" s="15" t="n">
        <v>59</v>
      </c>
      <c r="J208" s="16" t="n">
        <v>27</v>
      </c>
      <c r="K208" s="16">
        <f>IFERROR(J208/30,0)</f>
        <v/>
      </c>
      <c r="L208" s="15" t="n">
        <v>1</v>
      </c>
      <c r="M208" s="17" t="n">
        <v>0.9667</v>
      </c>
      <c r="N208" s="15" t="n">
        <v>1</v>
      </c>
      <c r="O208" s="15" t="n">
        <v>1</v>
      </c>
      <c r="P208" s="15" t="n">
        <v>0</v>
      </c>
      <c r="Q208" s="12" t="n">
        <v>0</v>
      </c>
      <c r="R208" s="12" t="n">
        <v>0</v>
      </c>
      <c r="S208" s="15">
        <f>H208+Q208-R208</f>
        <v/>
      </c>
      <c r="T208" s="12" t="n">
        <v>14</v>
      </c>
      <c r="U208" s="12" t="n">
        <v>7</v>
      </c>
      <c r="V208" s="12" t="n">
        <v>7</v>
      </c>
      <c r="W208" s="16">
        <f>K208*(T208+U208)</f>
        <v/>
      </c>
      <c r="X208" s="16">
        <f>K208*(T208+U208+V208)</f>
        <v/>
      </c>
      <c r="Y208" s="16">
        <f>IF(K208&gt;0,H208/K208,99999)</f>
        <v/>
      </c>
      <c r="Z208" s="14">
        <f>IF(AND(OR(L208&gt;=1,M208&lt;0.95),Y208&gt;120),"DATA CONFLICT - VERIFY",IF(OR(L208&gt;=1,M208&lt;0.95,Y208&lt;=14),"SERVICE / STOCKOUT REVIEW",IF(Y208&gt;120,"OVERSTOCK REVIEW",IF(S208&lt;=W208,"REPLENISHMENT REVIEW","NORMAL MONITORING"))))</f>
        <v/>
      </c>
      <c r="AA208" s="15">
        <f>IF(OR(Z208="DATA CONFLICT - VERIFY",Z208="SERVICE / STOCKOUT REVIEW"),0,IF(S208&lt;=W208,MAX(0,ROUNDUP(X208-S208,0)),0))</f>
        <v/>
      </c>
      <c r="AB208" s="14">
        <f>IF(Z208="DATA CONFLICT - VERIFY","P1 - DATA CONFLICT",IF(Z208="SERVICE / STOCKOUT REVIEW","P1 - SERVICE",IF(Z208="OVERSTOCK REVIEW","P2 - OVERSTOCK",IF(Z208="REPLENISHMENT REVIEW","P2 - REPLENISH","P3 - MONITOR"))))</f>
        <v/>
      </c>
      <c r="AC208" s="16" t="n">
        <v>1254.473566465956</v>
      </c>
      <c r="AD208" s="16" t="n">
        <v>700.8743815845297</v>
      </c>
      <c r="AE208" s="16">
        <f>IF(OR(AD208="",H208=""),"",H208*AD208)</f>
        <v/>
      </c>
    </row>
    <row r="209">
      <c r="A209" s="7" t="inlineStr">
        <is>
          <t>2022-12-31</t>
        </is>
      </c>
      <c r="B209" s="7" t="n">
        <v>2207</v>
      </c>
      <c r="C209" s="8" t="inlineStr">
        <is>
          <t>VietMotion RP-04</t>
        </is>
      </c>
      <c r="D209" s="8" t="inlineStr">
        <is>
          <t>Outdoor</t>
        </is>
      </c>
      <c r="E209" s="7" t="inlineStr">
        <is>
          <t>Activewear</t>
        </is>
      </c>
      <c r="F209" s="7" t="inlineStr">
        <is>
          <t>XL</t>
        </is>
      </c>
      <c r="G209" s="7" t="inlineStr">
        <is>
          <t>silver</t>
        </is>
      </c>
      <c r="H209" s="9" t="n">
        <v>351</v>
      </c>
      <c r="I209" s="9" t="n">
        <v>59</v>
      </c>
      <c r="J209" s="10" t="n">
        <v>27</v>
      </c>
      <c r="K209" s="10">
        <f>IFERROR(J209/30,0)</f>
        <v/>
      </c>
      <c r="L209" s="9" t="n">
        <v>0</v>
      </c>
      <c r="M209" s="11" t="n">
        <v>1</v>
      </c>
      <c r="N209" s="9" t="n">
        <v>0</v>
      </c>
      <c r="O209" s="9" t="n">
        <v>1</v>
      </c>
      <c r="P209" s="9" t="n">
        <v>0</v>
      </c>
      <c r="Q209" s="12" t="n">
        <v>0</v>
      </c>
      <c r="R209" s="12" t="n">
        <v>0</v>
      </c>
      <c r="S209" s="9">
        <f>H209+Q209-R209</f>
        <v/>
      </c>
      <c r="T209" s="12" t="n">
        <v>14</v>
      </c>
      <c r="U209" s="12" t="n">
        <v>7</v>
      </c>
      <c r="V209" s="12" t="n">
        <v>7</v>
      </c>
      <c r="W209" s="10">
        <f>K209*(T209+U209)</f>
        <v/>
      </c>
      <c r="X209" s="10">
        <f>K209*(T209+U209+V209)</f>
        <v/>
      </c>
      <c r="Y209" s="10">
        <f>IF(K209&gt;0,H209/K209,99999)</f>
        <v/>
      </c>
      <c r="Z209" s="8">
        <f>IF(AND(OR(L209&gt;=1,M209&lt;0.95),Y209&gt;120),"DATA CONFLICT - VERIFY",IF(OR(L209&gt;=1,M209&lt;0.95,Y209&lt;=14),"SERVICE / STOCKOUT REVIEW",IF(Y209&gt;120,"OVERSTOCK REVIEW",IF(S209&lt;=W209,"REPLENISHMENT REVIEW","NORMAL MONITORING"))))</f>
        <v/>
      </c>
      <c r="AA209" s="9">
        <f>IF(OR(Z209="DATA CONFLICT - VERIFY",Z209="SERVICE / STOCKOUT REVIEW"),0,IF(S209&lt;=W209,MAX(0,ROUNDUP(X209-S209,0)),0))</f>
        <v/>
      </c>
      <c r="AB209" s="8">
        <f>IF(Z209="DATA CONFLICT - VERIFY","P1 - DATA CONFLICT",IF(Z209="SERVICE / STOCKOUT REVIEW","P1 - SERVICE",IF(Z209="OVERSTOCK REVIEW","P2 - OVERSTOCK",IF(Z209="REPLENISHMENT REVIEW","P2 - REPLENISH","P3 - MONITOR"))))</f>
        <v/>
      </c>
      <c r="AC209" s="10" t="n">
        <v>1254.473566465956</v>
      </c>
      <c r="AD209" s="10" t="n">
        <v>1191.749888142658</v>
      </c>
      <c r="AE209" s="10">
        <f>IF(OR(AD209="",H209=""),"",H209*AD209)</f>
        <v/>
      </c>
    </row>
    <row r="210">
      <c r="A210" s="13" t="inlineStr">
        <is>
          <t>2022-12-31</t>
        </is>
      </c>
      <c r="B210" s="13" t="n">
        <v>2212</v>
      </c>
      <c r="C210" s="14" t="inlineStr">
        <is>
          <t>VietMotion RP-09</t>
        </is>
      </c>
      <c r="D210" s="14" t="inlineStr">
        <is>
          <t>Outdoor</t>
        </is>
      </c>
      <c r="E210" s="13" t="inlineStr">
        <is>
          <t>Activewear</t>
        </is>
      </c>
      <c r="F210" s="13" t="inlineStr">
        <is>
          <t>S</t>
        </is>
      </c>
      <c r="G210" s="13" t="inlineStr">
        <is>
          <t>orange</t>
        </is>
      </c>
      <c r="H210" s="15" t="n">
        <v>848</v>
      </c>
      <c r="I210" s="15" t="n">
        <v>1</v>
      </c>
      <c r="J210" s="16" t="n">
        <v>1</v>
      </c>
      <c r="K210" s="16">
        <f>IFERROR(J210/30,0)</f>
        <v/>
      </c>
      <c r="L210" s="15" t="n">
        <v>2</v>
      </c>
      <c r="M210" s="17" t="n">
        <v>0.9333</v>
      </c>
      <c r="N210" s="15" t="n">
        <v>1</v>
      </c>
      <c r="O210" s="15" t="n">
        <v>1</v>
      </c>
      <c r="P210" s="15" t="n">
        <v>0</v>
      </c>
      <c r="Q210" s="12" t="n">
        <v>0</v>
      </c>
      <c r="R210" s="12" t="n">
        <v>0</v>
      </c>
      <c r="S210" s="15">
        <f>H210+Q210-R210</f>
        <v/>
      </c>
      <c r="T210" s="12" t="n">
        <v>14</v>
      </c>
      <c r="U210" s="12" t="n">
        <v>7</v>
      </c>
      <c r="V210" s="12" t="n">
        <v>7</v>
      </c>
      <c r="W210" s="16">
        <f>K210*(T210+U210)</f>
        <v/>
      </c>
      <c r="X210" s="16">
        <f>K210*(T210+U210+V210)</f>
        <v/>
      </c>
      <c r="Y210" s="16">
        <f>IF(K210&gt;0,H210/K210,99999)</f>
        <v/>
      </c>
      <c r="Z210" s="14">
        <f>IF(AND(OR(L210&gt;=1,M210&lt;0.95),Y210&gt;120),"DATA CONFLICT - VERIFY",IF(OR(L210&gt;=1,M210&lt;0.95,Y210&lt;=14),"SERVICE / STOCKOUT REVIEW",IF(Y210&gt;120,"OVERSTOCK REVIEW",IF(S210&lt;=W210,"REPLENISHMENT REVIEW","NORMAL MONITORING"))))</f>
        <v/>
      </c>
      <c r="AA210" s="15">
        <f>IF(OR(Z210="DATA CONFLICT - VERIFY",Z210="SERVICE / STOCKOUT REVIEW"),0,IF(S210&lt;=W210,MAX(0,ROUNDUP(X210-S210,0)),0))</f>
        <v/>
      </c>
      <c r="AB210" s="14">
        <f>IF(Z210="DATA CONFLICT - VERIFY","P1 - DATA CONFLICT",IF(Z210="SERVICE / STOCKOUT REVIEW","P1 - SERVICE",IF(Z210="OVERSTOCK REVIEW","P2 - OVERSTOCK",IF(Z210="REPLENISHMENT REVIEW","P2 - REPLENISH","P3 - MONITOR"))))</f>
        <v/>
      </c>
      <c r="AC210" s="16" t="n">
        <v>1075.947169481654</v>
      </c>
      <c r="AD210" s="16" t="n">
        <v>854.5172420023296</v>
      </c>
      <c r="AE210" s="16">
        <f>IF(OR(AD210="",H210=""),"",H210*AD210)</f>
        <v/>
      </c>
    </row>
    <row r="211">
      <c r="A211" s="7" t="inlineStr">
        <is>
          <t>2022-12-31</t>
        </is>
      </c>
      <c r="B211" s="7" t="n">
        <v>2213</v>
      </c>
      <c r="C211" s="8" t="inlineStr">
        <is>
          <t>VietMotion RP-10</t>
        </is>
      </c>
      <c r="D211" s="8" t="inlineStr">
        <is>
          <t>Outdoor</t>
        </is>
      </c>
      <c r="E211" s="7" t="inlineStr">
        <is>
          <t>Activewear</t>
        </is>
      </c>
      <c r="F211" s="7" t="inlineStr">
        <is>
          <t>M</t>
        </is>
      </c>
      <c r="G211" s="7" t="inlineStr">
        <is>
          <t>blue</t>
        </is>
      </c>
      <c r="H211" s="9" t="n">
        <v>766</v>
      </c>
      <c r="I211" s="9" t="n">
        <v>1</v>
      </c>
      <c r="J211" s="10" t="n">
        <v>1</v>
      </c>
      <c r="K211" s="10">
        <f>IFERROR(J211/30,0)</f>
        <v/>
      </c>
      <c r="L211" s="9" t="n">
        <v>0</v>
      </c>
      <c r="M211" s="11" t="n">
        <v>1</v>
      </c>
      <c r="N211" s="9" t="n">
        <v>0</v>
      </c>
      <c r="O211" s="9" t="n">
        <v>1</v>
      </c>
      <c r="P211" s="9" t="n">
        <v>0</v>
      </c>
      <c r="Q211" s="12" t="n">
        <v>0</v>
      </c>
      <c r="R211" s="12" t="n">
        <v>0</v>
      </c>
      <c r="S211" s="9">
        <f>H211+Q211-R211</f>
        <v/>
      </c>
      <c r="T211" s="12" t="n">
        <v>14</v>
      </c>
      <c r="U211" s="12" t="n">
        <v>7</v>
      </c>
      <c r="V211" s="12" t="n">
        <v>7</v>
      </c>
      <c r="W211" s="10">
        <f>K211*(T211+U211)</f>
        <v/>
      </c>
      <c r="X211" s="10">
        <f>K211*(T211+U211+V211)</f>
        <v/>
      </c>
      <c r="Y211" s="10">
        <f>IF(K211&gt;0,H211/K211,99999)</f>
        <v/>
      </c>
      <c r="Z211" s="8">
        <f>IF(AND(OR(L211&gt;=1,M211&lt;0.95),Y211&gt;120),"DATA CONFLICT - VERIFY",IF(OR(L211&gt;=1,M211&lt;0.95,Y211&lt;=14),"SERVICE / STOCKOUT REVIEW",IF(Y211&gt;120,"OVERSTOCK REVIEW",IF(S211&lt;=W211,"REPLENISHMENT REVIEW","NORMAL MONITORING"))))</f>
        <v/>
      </c>
      <c r="AA211" s="9">
        <f>IF(OR(Z211="DATA CONFLICT - VERIFY",Z211="SERVICE / STOCKOUT REVIEW"),0,IF(S211&lt;=W211,MAX(0,ROUNDUP(X211-S211,0)),0))</f>
        <v/>
      </c>
      <c r="AB211" s="8">
        <f>IF(Z211="DATA CONFLICT - VERIFY","P1 - DATA CONFLICT",IF(Z211="SERVICE / STOCKOUT REVIEW","P1 - SERVICE",IF(Z211="OVERSTOCK REVIEW","P2 - OVERSTOCK",IF(Z211="REPLENISHMENT REVIEW","P2 - REPLENISH","P3 - MONITOR"))))</f>
        <v/>
      </c>
      <c r="AC211" s="10" t="n">
        <v>1075.947169481654</v>
      </c>
      <c r="AD211" s="10" t="n">
        <v>753.7009922218986</v>
      </c>
      <c r="AE211" s="10">
        <f>IF(OR(AD211="",H211=""),"",H211*AD211)</f>
        <v/>
      </c>
    </row>
    <row r="212">
      <c r="A212" s="13" t="inlineStr">
        <is>
          <t>2022-12-31</t>
        </is>
      </c>
      <c r="B212" s="13" t="n">
        <v>2214</v>
      </c>
      <c r="C212" s="14" t="inlineStr">
        <is>
          <t>VietMotion RP-11</t>
        </is>
      </c>
      <c r="D212" s="14" t="inlineStr">
        <is>
          <t>Outdoor</t>
        </is>
      </c>
      <c r="E212" s="13" t="inlineStr">
        <is>
          <t>Activewear</t>
        </is>
      </c>
      <c r="F212" s="13" t="inlineStr">
        <is>
          <t>L</t>
        </is>
      </c>
      <c r="G212" s="13" t="inlineStr">
        <is>
          <t>white</t>
        </is>
      </c>
      <c r="H212" s="15" t="n">
        <v>446</v>
      </c>
      <c r="I212" s="15" t="n">
        <v>12</v>
      </c>
      <c r="J212" s="16" t="n">
        <v>10.66666666666667</v>
      </c>
      <c r="K212" s="16">
        <f>IFERROR(J212/30,0)</f>
        <v/>
      </c>
      <c r="L212" s="15" t="n">
        <v>2</v>
      </c>
      <c r="M212" s="17" t="n">
        <v>0.9333</v>
      </c>
      <c r="N212" s="15" t="n">
        <v>1</v>
      </c>
      <c r="O212" s="15" t="n">
        <v>1</v>
      </c>
      <c r="P212" s="15" t="n">
        <v>0</v>
      </c>
      <c r="Q212" s="12" t="n">
        <v>0</v>
      </c>
      <c r="R212" s="12" t="n">
        <v>0</v>
      </c>
      <c r="S212" s="15">
        <f>H212+Q212-R212</f>
        <v/>
      </c>
      <c r="T212" s="12" t="n">
        <v>14</v>
      </c>
      <c r="U212" s="12" t="n">
        <v>7</v>
      </c>
      <c r="V212" s="12" t="n">
        <v>7</v>
      </c>
      <c r="W212" s="16">
        <f>K212*(T212+U212)</f>
        <v/>
      </c>
      <c r="X212" s="16">
        <f>K212*(T212+U212+V212)</f>
        <v/>
      </c>
      <c r="Y212" s="16">
        <f>IF(K212&gt;0,H212/K212,99999)</f>
        <v/>
      </c>
      <c r="Z212" s="14">
        <f>IF(AND(OR(L212&gt;=1,M212&lt;0.95),Y212&gt;120),"DATA CONFLICT - VERIFY",IF(OR(L212&gt;=1,M212&lt;0.95,Y212&lt;=14),"SERVICE / STOCKOUT REVIEW",IF(Y212&gt;120,"OVERSTOCK REVIEW",IF(S212&lt;=W212,"REPLENISHMENT REVIEW","NORMAL MONITORING"))))</f>
        <v/>
      </c>
      <c r="AA212" s="15">
        <f>IF(OR(Z212="DATA CONFLICT - VERIFY",Z212="SERVICE / STOCKOUT REVIEW"),0,IF(S212&lt;=W212,MAX(0,ROUNDUP(X212-S212,0)),0))</f>
        <v/>
      </c>
      <c r="AB212" s="14">
        <f>IF(Z212="DATA CONFLICT - VERIFY","P1 - DATA CONFLICT",IF(Z212="SERVICE / STOCKOUT REVIEW","P1 - SERVICE",IF(Z212="OVERSTOCK REVIEW","P2 - OVERSTOCK",IF(Z212="REPLENISHMENT REVIEW","P2 - REPLENISH","P3 - MONITOR"))))</f>
        <v/>
      </c>
      <c r="AC212" s="16" t="n">
        <v>4408.759136690647</v>
      </c>
      <c r="AD212" s="16" t="n">
        <v>4188.321179856114</v>
      </c>
      <c r="AE212" s="16">
        <f>IF(OR(AD212="",H212=""),"",H212*AD212)</f>
        <v/>
      </c>
    </row>
    <row r="213">
      <c r="A213" s="7" t="inlineStr">
        <is>
          <t>2022-12-31</t>
        </is>
      </c>
      <c r="B213" s="7" t="n">
        <v>2215</v>
      </c>
      <c r="C213" s="8" t="inlineStr">
        <is>
          <t>VietMotion RP-12</t>
        </is>
      </c>
      <c r="D213" s="8" t="inlineStr">
        <is>
          <t>Outdoor</t>
        </is>
      </c>
      <c r="E213" s="7" t="inlineStr">
        <is>
          <t>Activewear</t>
        </is>
      </c>
      <c r="F213" s="7" t="inlineStr">
        <is>
          <t>XL</t>
        </is>
      </c>
      <c r="G213" s="7" t="inlineStr">
        <is>
          <t>purple</t>
        </is>
      </c>
      <c r="H213" s="9" t="n">
        <v>484</v>
      </c>
      <c r="I213" s="9" t="n">
        <v>12</v>
      </c>
      <c r="J213" s="10" t="n">
        <v>10.66666666666667</v>
      </c>
      <c r="K213" s="10">
        <f>IFERROR(J213/30,0)</f>
        <v/>
      </c>
      <c r="L213" s="9" t="n">
        <v>1</v>
      </c>
      <c r="M213" s="11" t="n">
        <v>0.9667</v>
      </c>
      <c r="N213" s="9" t="n">
        <v>1</v>
      </c>
      <c r="O213" s="9" t="n">
        <v>1</v>
      </c>
      <c r="P213" s="9" t="n">
        <v>0</v>
      </c>
      <c r="Q213" s="12" t="n">
        <v>0</v>
      </c>
      <c r="R213" s="12" t="n">
        <v>0</v>
      </c>
      <c r="S213" s="9">
        <f>H213+Q213-R213</f>
        <v/>
      </c>
      <c r="T213" s="12" t="n">
        <v>14</v>
      </c>
      <c r="U213" s="12" t="n">
        <v>7</v>
      </c>
      <c r="V213" s="12" t="n">
        <v>7</v>
      </c>
      <c r="W213" s="10">
        <f>K213*(T213+U213)</f>
        <v/>
      </c>
      <c r="X213" s="10">
        <f>K213*(T213+U213+V213)</f>
        <v/>
      </c>
      <c r="Y213" s="10">
        <f>IF(K213&gt;0,H213/K213,99999)</f>
        <v/>
      </c>
      <c r="Z213" s="8">
        <f>IF(AND(OR(L213&gt;=1,M213&lt;0.95),Y213&gt;120),"DATA CONFLICT - VERIFY",IF(OR(L213&gt;=1,M213&lt;0.95,Y213&lt;=14),"SERVICE / STOCKOUT REVIEW",IF(Y213&gt;120,"OVERSTOCK REVIEW",IF(S213&lt;=W213,"REPLENISHMENT REVIEW","NORMAL MONITORING"))))</f>
        <v/>
      </c>
      <c r="AA213" s="9">
        <f>IF(OR(Z213="DATA CONFLICT - VERIFY",Z213="SERVICE / STOCKOUT REVIEW"),0,IF(S213&lt;=W213,MAX(0,ROUNDUP(X213-S213,0)),0))</f>
        <v/>
      </c>
      <c r="AB213" s="8">
        <f>IF(Z213="DATA CONFLICT - VERIFY","P1 - DATA CONFLICT",IF(Z213="SERVICE / STOCKOUT REVIEW","P1 - SERVICE",IF(Z213="OVERSTOCK REVIEW","P2 - OVERSTOCK",IF(Z213="REPLENISHMENT REVIEW","P2 - REPLENISH","P3 - MONITOR"))))</f>
        <v/>
      </c>
      <c r="AC213" s="10" t="n">
        <v>4408.759136690647</v>
      </c>
      <c r="AD213" s="10" t="n">
        <v>3776.983952402878</v>
      </c>
      <c r="AE213" s="10">
        <f>IF(OR(AD213="",H213=""),"",H213*AD213)</f>
        <v/>
      </c>
    </row>
    <row r="214">
      <c r="A214" s="13" t="inlineStr">
        <is>
          <t>2022-12-31</t>
        </is>
      </c>
      <c r="B214" s="13" t="n">
        <v>2218</v>
      </c>
      <c r="C214" s="14" t="inlineStr">
        <is>
          <t>VietMotion RP-15</t>
        </is>
      </c>
      <c r="D214" s="14" t="inlineStr">
        <is>
          <t>Outdoor</t>
        </is>
      </c>
      <c r="E214" s="13" t="inlineStr">
        <is>
          <t>Activewear</t>
        </is>
      </c>
      <c r="F214" s="13" t="inlineStr">
        <is>
          <t>L</t>
        </is>
      </c>
      <c r="G214" s="13" t="inlineStr">
        <is>
          <t>pink</t>
        </is>
      </c>
      <c r="H214" s="15" t="n">
        <v>827</v>
      </c>
      <c r="I214" s="15" t="n">
        <v>30</v>
      </c>
      <c r="J214" s="16" t="n">
        <v>17.66666666666667</v>
      </c>
      <c r="K214" s="16">
        <f>IFERROR(J214/30,0)</f>
        <v/>
      </c>
      <c r="L214" s="15" t="n">
        <v>2</v>
      </c>
      <c r="M214" s="17" t="n">
        <v>0.9333</v>
      </c>
      <c r="N214" s="15" t="n">
        <v>1</v>
      </c>
      <c r="O214" s="15" t="n">
        <v>1</v>
      </c>
      <c r="P214" s="15" t="n">
        <v>0</v>
      </c>
      <c r="Q214" s="12" t="n">
        <v>0</v>
      </c>
      <c r="R214" s="12" t="n">
        <v>0</v>
      </c>
      <c r="S214" s="15">
        <f>H214+Q214-R214</f>
        <v/>
      </c>
      <c r="T214" s="12" t="n">
        <v>14</v>
      </c>
      <c r="U214" s="12" t="n">
        <v>7</v>
      </c>
      <c r="V214" s="12" t="n">
        <v>7</v>
      </c>
      <c r="W214" s="16">
        <f>K214*(T214+U214)</f>
        <v/>
      </c>
      <c r="X214" s="16">
        <f>K214*(T214+U214+V214)</f>
        <v/>
      </c>
      <c r="Y214" s="16">
        <f>IF(K214&gt;0,H214/K214,99999)</f>
        <v/>
      </c>
      <c r="Z214" s="14">
        <f>IF(AND(OR(L214&gt;=1,M214&lt;0.95),Y214&gt;120),"DATA CONFLICT - VERIFY",IF(OR(L214&gt;=1,M214&lt;0.95,Y214&lt;=14),"SERVICE / STOCKOUT REVIEW",IF(Y214&gt;120,"OVERSTOCK REVIEW",IF(S214&lt;=W214,"REPLENISHMENT REVIEW","NORMAL MONITORING"))))</f>
        <v/>
      </c>
      <c r="AA214" s="15">
        <f>IF(OR(Z214="DATA CONFLICT - VERIFY",Z214="SERVICE / STOCKOUT REVIEW"),0,IF(S214&lt;=W214,MAX(0,ROUNDUP(X214-S214,0)),0))</f>
        <v/>
      </c>
      <c r="AB214" s="14">
        <f>IF(Z214="DATA CONFLICT - VERIFY","P1 - DATA CONFLICT",IF(Z214="SERVICE / STOCKOUT REVIEW","P1 - SERVICE",IF(Z214="OVERSTOCK REVIEW","P2 - OVERSTOCK",IF(Z214="REPLENISHMENT REVIEW","P2 - REPLENISH","P3 - MONITOR"))))</f>
        <v/>
      </c>
      <c r="AC214" s="16" t="n">
        <v>1768.299924127466</v>
      </c>
      <c r="AD214" s="16" t="n">
        <v>1081.845893581184</v>
      </c>
      <c r="AE214" s="16">
        <f>IF(OR(AD214="",H214=""),"",H214*AD214)</f>
        <v/>
      </c>
    </row>
    <row r="215">
      <c r="A215" s="7" t="inlineStr">
        <is>
          <t>2022-12-31</t>
        </is>
      </c>
      <c r="B215" s="7" t="n">
        <v>2219</v>
      </c>
      <c r="C215" s="8" t="inlineStr">
        <is>
          <t>VietMotion RP-16</t>
        </is>
      </c>
      <c r="D215" s="8" t="inlineStr">
        <is>
          <t>Outdoor</t>
        </is>
      </c>
      <c r="E215" s="7" t="inlineStr">
        <is>
          <t>Activewear</t>
        </is>
      </c>
      <c r="F215" s="7" t="inlineStr">
        <is>
          <t>XL</t>
        </is>
      </c>
      <c r="G215" s="7" t="inlineStr">
        <is>
          <t>yellow</t>
        </is>
      </c>
      <c r="H215" s="9" t="n">
        <v>824</v>
      </c>
      <c r="I215" s="9" t="n">
        <v>30</v>
      </c>
      <c r="J215" s="10" t="n">
        <v>17.66666666666667</v>
      </c>
      <c r="K215" s="10">
        <f>IFERROR(J215/30,0)</f>
        <v/>
      </c>
      <c r="L215" s="9" t="n">
        <v>2</v>
      </c>
      <c r="M215" s="11" t="n">
        <v>0.9333</v>
      </c>
      <c r="N215" s="9" t="n">
        <v>1</v>
      </c>
      <c r="O215" s="9" t="n">
        <v>1</v>
      </c>
      <c r="P215" s="9" t="n">
        <v>0</v>
      </c>
      <c r="Q215" s="12" t="n">
        <v>0</v>
      </c>
      <c r="R215" s="12" t="n">
        <v>0</v>
      </c>
      <c r="S215" s="9">
        <f>H215+Q215-R215</f>
        <v/>
      </c>
      <c r="T215" s="12" t="n">
        <v>14</v>
      </c>
      <c r="U215" s="12" t="n">
        <v>7</v>
      </c>
      <c r="V215" s="12" t="n">
        <v>7</v>
      </c>
      <c r="W215" s="10">
        <f>K215*(T215+U215)</f>
        <v/>
      </c>
      <c r="X215" s="10">
        <f>K215*(T215+U215+V215)</f>
        <v/>
      </c>
      <c r="Y215" s="10">
        <f>IF(K215&gt;0,H215/K215,99999)</f>
        <v/>
      </c>
      <c r="Z215" s="8">
        <f>IF(AND(OR(L215&gt;=1,M215&lt;0.95),Y215&gt;120),"DATA CONFLICT - VERIFY",IF(OR(L215&gt;=1,M215&lt;0.95,Y215&lt;=14),"SERVICE / STOCKOUT REVIEW",IF(Y215&gt;120,"OVERSTOCK REVIEW",IF(S215&lt;=W215,"REPLENISHMENT REVIEW","NORMAL MONITORING"))))</f>
        <v/>
      </c>
      <c r="AA215" s="9">
        <f>IF(OR(Z215="DATA CONFLICT - VERIFY",Z215="SERVICE / STOCKOUT REVIEW"),0,IF(S215&lt;=W215,MAX(0,ROUNDUP(X215-S215,0)),0))</f>
        <v/>
      </c>
      <c r="AB215" s="8">
        <f>IF(Z215="DATA CONFLICT - VERIFY","P1 - DATA CONFLICT",IF(Z215="SERVICE / STOCKOUT REVIEW","P1 - SERVICE",IF(Z215="OVERSTOCK REVIEW","P2 - OVERSTOCK",IF(Z215="REPLENISHMENT REVIEW","P2 - REPLENISH","P3 - MONITOR"))))</f>
        <v/>
      </c>
      <c r="AC215" s="10" t="n">
        <v>1768.299924127466</v>
      </c>
      <c r="AD215" s="10" t="n">
        <v>1679.884927921092</v>
      </c>
      <c r="AE215" s="10">
        <f>IF(OR(AD215="",H215=""),"",H215*AD215)</f>
        <v/>
      </c>
    </row>
    <row r="216">
      <c r="A216" s="13" t="inlineStr">
        <is>
          <t>2022-12-31</t>
        </is>
      </c>
      <c r="B216" s="13" t="n">
        <v>2224</v>
      </c>
      <c r="C216" s="14" t="inlineStr">
        <is>
          <t>VietMotion RP-21</t>
        </is>
      </c>
      <c r="D216" s="14" t="inlineStr">
        <is>
          <t>Outdoor</t>
        </is>
      </c>
      <c r="E216" s="13" t="inlineStr">
        <is>
          <t>Activewear</t>
        </is>
      </c>
      <c r="F216" s="13" t="inlineStr">
        <is>
          <t>S</t>
        </is>
      </c>
      <c r="G216" s="13" t="inlineStr">
        <is>
          <t>white</t>
        </is>
      </c>
      <c r="H216" s="15" t="n">
        <v>796</v>
      </c>
      <c r="I216" s="15" t="n">
        <v>75</v>
      </c>
      <c r="J216" s="16" t="n">
        <v>37.33333333333334</v>
      </c>
      <c r="K216" s="16">
        <f>IFERROR(J216/30,0)</f>
        <v/>
      </c>
      <c r="L216" s="15" t="n">
        <v>0</v>
      </c>
      <c r="M216" s="17" t="n">
        <v>1</v>
      </c>
      <c r="N216" s="15" t="n">
        <v>0</v>
      </c>
      <c r="O216" s="15" t="n">
        <v>1</v>
      </c>
      <c r="P216" s="15" t="n">
        <v>0</v>
      </c>
      <c r="Q216" s="12" t="n">
        <v>0</v>
      </c>
      <c r="R216" s="12" t="n">
        <v>0</v>
      </c>
      <c r="S216" s="15">
        <f>H216+Q216-R216</f>
        <v/>
      </c>
      <c r="T216" s="12" t="n">
        <v>14</v>
      </c>
      <c r="U216" s="12" t="n">
        <v>7</v>
      </c>
      <c r="V216" s="12" t="n">
        <v>7</v>
      </c>
      <c r="W216" s="16">
        <f>K216*(T216+U216)</f>
        <v/>
      </c>
      <c r="X216" s="16">
        <f>K216*(T216+U216+V216)</f>
        <v/>
      </c>
      <c r="Y216" s="16">
        <f>IF(K216&gt;0,H216/K216,99999)</f>
        <v/>
      </c>
      <c r="Z216" s="14">
        <f>IF(AND(OR(L216&gt;=1,M216&lt;0.95),Y216&gt;120),"DATA CONFLICT - VERIFY",IF(OR(L216&gt;=1,M216&lt;0.95,Y216&lt;=14),"SERVICE / STOCKOUT REVIEW",IF(Y216&gt;120,"OVERSTOCK REVIEW",IF(S216&lt;=W216,"REPLENISHMENT REVIEW","NORMAL MONITORING"))))</f>
        <v/>
      </c>
      <c r="AA216" s="15">
        <f>IF(OR(Z216="DATA CONFLICT - VERIFY",Z216="SERVICE / STOCKOUT REVIEW"),0,IF(S216&lt;=W216,MAX(0,ROUNDUP(X216-S216,0)),0))</f>
        <v/>
      </c>
      <c r="AB216" s="14">
        <f>IF(Z216="DATA CONFLICT - VERIFY","P1 - DATA CONFLICT",IF(Z216="SERVICE / STOCKOUT REVIEW","P1 - SERVICE",IF(Z216="OVERSTOCK REVIEW","P2 - OVERSTOCK",IF(Z216="REPLENISHMENT REVIEW","P2 - REPLENISH","P3 - MONITOR"))))</f>
        <v/>
      </c>
      <c r="AC216" s="16" t="n">
        <v>768.1824234158624</v>
      </c>
      <c r="AD216" s="16" t="n">
        <v>443.2412583109526</v>
      </c>
      <c r="AE216" s="16">
        <f>IF(OR(AD216="",H216=""),"",H216*AD216)</f>
        <v/>
      </c>
    </row>
    <row r="217">
      <c r="A217" s="7" t="inlineStr">
        <is>
          <t>2022-12-31</t>
        </is>
      </c>
      <c r="B217" s="7" t="n">
        <v>2225</v>
      </c>
      <c r="C217" s="8" t="inlineStr">
        <is>
          <t>VietMotion RP-22</t>
        </is>
      </c>
      <c r="D217" s="8" t="inlineStr">
        <is>
          <t>Outdoor</t>
        </is>
      </c>
      <c r="E217" s="7" t="inlineStr">
        <is>
          <t>Activewear</t>
        </is>
      </c>
      <c r="F217" s="7" t="inlineStr">
        <is>
          <t>M</t>
        </is>
      </c>
      <c r="G217" s="7" t="inlineStr">
        <is>
          <t>purple</t>
        </is>
      </c>
      <c r="H217" s="9" t="n">
        <v>815</v>
      </c>
      <c r="I217" s="9" t="n">
        <v>75</v>
      </c>
      <c r="J217" s="10" t="n">
        <v>37.33333333333334</v>
      </c>
      <c r="K217" s="10">
        <f>IFERROR(J217/30,0)</f>
        <v/>
      </c>
      <c r="L217" s="9" t="n">
        <v>2</v>
      </c>
      <c r="M217" s="11" t="n">
        <v>0.9333</v>
      </c>
      <c r="N217" s="9" t="n">
        <v>1</v>
      </c>
      <c r="O217" s="9" t="n">
        <v>1</v>
      </c>
      <c r="P217" s="9" t="n">
        <v>0</v>
      </c>
      <c r="Q217" s="12" t="n">
        <v>0</v>
      </c>
      <c r="R217" s="12" t="n">
        <v>0</v>
      </c>
      <c r="S217" s="9">
        <f>H217+Q217-R217</f>
        <v/>
      </c>
      <c r="T217" s="12" t="n">
        <v>14</v>
      </c>
      <c r="U217" s="12" t="n">
        <v>7</v>
      </c>
      <c r="V217" s="12" t="n">
        <v>7</v>
      </c>
      <c r="W217" s="10">
        <f>K217*(T217+U217)</f>
        <v/>
      </c>
      <c r="X217" s="10">
        <f>K217*(T217+U217+V217)</f>
        <v/>
      </c>
      <c r="Y217" s="10">
        <f>IF(K217&gt;0,H217/K217,99999)</f>
        <v/>
      </c>
      <c r="Z217" s="8">
        <f>IF(AND(OR(L217&gt;=1,M217&lt;0.95),Y217&gt;120),"DATA CONFLICT - VERIFY",IF(OR(L217&gt;=1,M217&lt;0.95,Y217&lt;=14),"SERVICE / STOCKOUT REVIEW",IF(Y217&gt;120,"OVERSTOCK REVIEW",IF(S217&lt;=W217,"REPLENISHMENT REVIEW","NORMAL MONITORING"))))</f>
        <v/>
      </c>
      <c r="AA217" s="9">
        <f>IF(OR(Z217="DATA CONFLICT - VERIFY",Z217="SERVICE / STOCKOUT REVIEW"),0,IF(S217&lt;=W217,MAX(0,ROUNDUP(X217-S217,0)),0))</f>
        <v/>
      </c>
      <c r="AB217" s="8">
        <f>IF(Z217="DATA CONFLICT - VERIFY","P1 - DATA CONFLICT",IF(Z217="SERVICE / STOCKOUT REVIEW","P1 - SERVICE",IF(Z217="OVERSTOCK REVIEW","P2 - OVERSTOCK",IF(Z217="REPLENISHMENT REVIEW","P2 - REPLENISH","P3 - MONITOR"))))</f>
        <v/>
      </c>
      <c r="AC217" s="10" t="n">
        <v>768.1824234158624</v>
      </c>
      <c r="AD217" s="10" t="n">
        <v>444.8544414001259</v>
      </c>
      <c r="AE217" s="10">
        <f>IF(OR(AD217="",H217=""),"",H217*AD217)</f>
        <v/>
      </c>
    </row>
    <row r="218">
      <c r="A218" s="13" t="inlineStr">
        <is>
          <t>2022-12-31</t>
        </is>
      </c>
      <c r="B218" s="13" t="n">
        <v>2236</v>
      </c>
      <c r="C218" s="14" t="inlineStr">
        <is>
          <t>VietMotion RP-33</t>
        </is>
      </c>
      <c r="D218" s="14" t="inlineStr">
        <is>
          <t>Outdoor</t>
        </is>
      </c>
      <c r="E218" s="13" t="inlineStr">
        <is>
          <t>Activewear</t>
        </is>
      </c>
      <c r="F218" s="13" t="inlineStr">
        <is>
          <t>S</t>
        </is>
      </c>
      <c r="G218" s="13" t="inlineStr">
        <is>
          <t>green</t>
        </is>
      </c>
      <c r="H218" s="15" t="n">
        <v>477</v>
      </c>
      <c r="I218" s="15" t="n">
        <v>17</v>
      </c>
      <c r="J218" s="16" t="n">
        <v>8</v>
      </c>
      <c r="K218" s="16">
        <f>IFERROR(J218/30,0)</f>
        <v/>
      </c>
      <c r="L218" s="15" t="n">
        <v>2</v>
      </c>
      <c r="M218" s="17" t="n">
        <v>0.9333</v>
      </c>
      <c r="N218" s="15" t="n">
        <v>1</v>
      </c>
      <c r="O218" s="15" t="n">
        <v>1</v>
      </c>
      <c r="P218" s="15" t="n">
        <v>0</v>
      </c>
      <c r="Q218" s="12" t="n">
        <v>0</v>
      </c>
      <c r="R218" s="12" t="n">
        <v>0</v>
      </c>
      <c r="S218" s="15">
        <f>H218+Q218-R218</f>
        <v/>
      </c>
      <c r="T218" s="12" t="n">
        <v>14</v>
      </c>
      <c r="U218" s="12" t="n">
        <v>7</v>
      </c>
      <c r="V218" s="12" t="n">
        <v>7</v>
      </c>
      <c r="W218" s="16">
        <f>K218*(T218+U218)</f>
        <v/>
      </c>
      <c r="X218" s="16">
        <f>K218*(T218+U218+V218)</f>
        <v/>
      </c>
      <c r="Y218" s="16">
        <f>IF(K218&gt;0,H218/K218,99999)</f>
        <v/>
      </c>
      <c r="Z218" s="14">
        <f>IF(AND(OR(L218&gt;=1,M218&lt;0.95),Y218&gt;120),"DATA CONFLICT - VERIFY",IF(OR(L218&gt;=1,M218&lt;0.95,Y218&lt;=14),"SERVICE / STOCKOUT REVIEW",IF(Y218&gt;120,"OVERSTOCK REVIEW",IF(S218&lt;=W218,"REPLENISHMENT REVIEW","NORMAL MONITORING"))))</f>
        <v/>
      </c>
      <c r="AA218" s="15">
        <f>IF(OR(Z218="DATA CONFLICT - VERIFY",Z218="SERVICE / STOCKOUT REVIEW"),0,IF(S218&lt;=W218,MAX(0,ROUNDUP(X218-S218,0)),0))</f>
        <v/>
      </c>
      <c r="AB218" s="14">
        <f>IF(Z218="DATA CONFLICT - VERIFY","P1 - DATA CONFLICT",IF(Z218="SERVICE / STOCKOUT REVIEW","P1 - SERVICE",IF(Z218="OVERSTOCK REVIEW","P2 - OVERSTOCK",IF(Z218="REPLENISHMENT REVIEW","P2 - REPLENISH","P3 - MONITOR"))))</f>
        <v/>
      </c>
      <c r="AC218" s="16" t="n">
        <v>2193.0293107221</v>
      </c>
      <c r="AD218" s="16" t="n">
        <v>1526.787006124726</v>
      </c>
      <c r="AE218" s="16">
        <f>IF(OR(AD218="",H218=""),"",H218*AD218)</f>
        <v/>
      </c>
    </row>
    <row r="219">
      <c r="A219" s="7" t="inlineStr">
        <is>
          <t>2022-12-31</t>
        </is>
      </c>
      <c r="B219" s="7" t="n">
        <v>2237</v>
      </c>
      <c r="C219" s="8" t="inlineStr">
        <is>
          <t>VietMotion RP-34</t>
        </is>
      </c>
      <c r="D219" s="8" t="inlineStr">
        <is>
          <t>Outdoor</t>
        </is>
      </c>
      <c r="E219" s="7" t="inlineStr">
        <is>
          <t>Activewear</t>
        </is>
      </c>
      <c r="F219" s="7" t="inlineStr">
        <is>
          <t>M</t>
        </is>
      </c>
      <c r="G219" s="7" t="inlineStr">
        <is>
          <t>silver</t>
        </is>
      </c>
      <c r="H219" s="9" t="n">
        <v>496</v>
      </c>
      <c r="I219" s="9" t="n">
        <v>17</v>
      </c>
      <c r="J219" s="10" t="n">
        <v>8</v>
      </c>
      <c r="K219" s="10">
        <f>IFERROR(J219/30,0)</f>
        <v/>
      </c>
      <c r="L219" s="9" t="n">
        <v>1</v>
      </c>
      <c r="M219" s="11" t="n">
        <v>0.9667</v>
      </c>
      <c r="N219" s="9" t="n">
        <v>1</v>
      </c>
      <c r="O219" s="9" t="n">
        <v>1</v>
      </c>
      <c r="P219" s="9" t="n">
        <v>0</v>
      </c>
      <c r="Q219" s="12" t="n">
        <v>0</v>
      </c>
      <c r="R219" s="12" t="n">
        <v>0</v>
      </c>
      <c r="S219" s="9">
        <f>H219+Q219-R219</f>
        <v/>
      </c>
      <c r="T219" s="12" t="n">
        <v>14</v>
      </c>
      <c r="U219" s="12" t="n">
        <v>7</v>
      </c>
      <c r="V219" s="12" t="n">
        <v>7</v>
      </c>
      <c r="W219" s="10">
        <f>K219*(T219+U219)</f>
        <v/>
      </c>
      <c r="X219" s="10">
        <f>K219*(T219+U219+V219)</f>
        <v/>
      </c>
      <c r="Y219" s="10">
        <f>IF(K219&gt;0,H219/K219,99999)</f>
        <v/>
      </c>
      <c r="Z219" s="8">
        <f>IF(AND(OR(L219&gt;=1,M219&lt;0.95),Y219&gt;120),"DATA CONFLICT - VERIFY",IF(OR(L219&gt;=1,M219&lt;0.95,Y219&lt;=14),"SERVICE / STOCKOUT REVIEW",IF(Y219&gt;120,"OVERSTOCK REVIEW",IF(S219&lt;=W219,"REPLENISHMENT REVIEW","NORMAL MONITORING"))))</f>
        <v/>
      </c>
      <c r="AA219" s="9">
        <f>IF(OR(Z219="DATA CONFLICT - VERIFY",Z219="SERVICE / STOCKOUT REVIEW"),0,IF(S219&lt;=W219,MAX(0,ROUNDUP(X219-S219,0)),0))</f>
        <v/>
      </c>
      <c r="AB219" s="8">
        <f>IF(Z219="DATA CONFLICT - VERIFY","P1 - DATA CONFLICT",IF(Z219="SERVICE / STOCKOUT REVIEW","P1 - SERVICE",IF(Z219="OVERSTOCK REVIEW","P2 - OVERSTOCK",IF(Z219="REPLENISHMENT REVIEW","P2 - REPLENISH","P3 - MONITOR"))))</f>
        <v/>
      </c>
      <c r="AC219" s="10" t="n">
        <v>2193.0293107221</v>
      </c>
      <c r="AD219" s="10" t="n">
        <v>1336.65136488512</v>
      </c>
      <c r="AE219" s="10">
        <f>IF(OR(AD219="",H219=""),"",H219*AD219)</f>
        <v/>
      </c>
    </row>
    <row r="220">
      <c r="A220" s="13" t="inlineStr">
        <is>
          <t>2022-12-31</t>
        </is>
      </c>
      <c r="B220" s="13" t="n">
        <v>2238</v>
      </c>
      <c r="C220" s="14" t="inlineStr">
        <is>
          <t>VietMotion RP-35</t>
        </is>
      </c>
      <c r="D220" s="14" t="inlineStr">
        <is>
          <t>Outdoor</t>
        </is>
      </c>
      <c r="E220" s="13" t="inlineStr">
        <is>
          <t>Activewear</t>
        </is>
      </c>
      <c r="F220" s="13" t="inlineStr">
        <is>
          <t>L</t>
        </is>
      </c>
      <c r="G220" s="13" t="inlineStr">
        <is>
          <t>pink</t>
        </is>
      </c>
      <c r="H220" s="15" t="n">
        <v>444</v>
      </c>
      <c r="I220" s="15" t="n">
        <v>4</v>
      </c>
      <c r="J220" s="16" t="n">
        <v>2</v>
      </c>
      <c r="K220" s="16">
        <f>IFERROR(J220/30,0)</f>
        <v/>
      </c>
      <c r="L220" s="15" t="n">
        <v>0</v>
      </c>
      <c r="M220" s="17" t="n">
        <v>1</v>
      </c>
      <c r="N220" s="15" t="n">
        <v>0</v>
      </c>
      <c r="O220" s="15" t="n">
        <v>1</v>
      </c>
      <c r="P220" s="15" t="n">
        <v>0</v>
      </c>
      <c r="Q220" s="12" t="n">
        <v>0</v>
      </c>
      <c r="R220" s="12" t="n">
        <v>0</v>
      </c>
      <c r="S220" s="15">
        <f>H220+Q220-R220</f>
        <v/>
      </c>
      <c r="T220" s="12" t="n">
        <v>14</v>
      </c>
      <c r="U220" s="12" t="n">
        <v>7</v>
      </c>
      <c r="V220" s="12" t="n">
        <v>7</v>
      </c>
      <c r="W220" s="16">
        <f>K220*(T220+U220)</f>
        <v/>
      </c>
      <c r="X220" s="16">
        <f>K220*(T220+U220+V220)</f>
        <v/>
      </c>
      <c r="Y220" s="16">
        <f>IF(K220&gt;0,H220/K220,99999)</f>
        <v/>
      </c>
      <c r="Z220" s="14">
        <f>IF(AND(OR(L220&gt;=1,M220&lt;0.95),Y220&gt;120),"DATA CONFLICT - VERIFY",IF(OR(L220&gt;=1,M220&lt;0.95,Y220&lt;=14),"SERVICE / STOCKOUT REVIEW",IF(Y220&gt;120,"OVERSTOCK REVIEW",IF(S220&lt;=W220,"REPLENISHMENT REVIEW","NORMAL MONITORING"))))</f>
        <v/>
      </c>
      <c r="AA220" s="15">
        <f>IF(OR(Z220="DATA CONFLICT - VERIFY",Z220="SERVICE / STOCKOUT REVIEW"),0,IF(S220&lt;=W220,MAX(0,ROUNDUP(X220-S220,0)),0))</f>
        <v/>
      </c>
      <c r="AB220" s="14">
        <f>IF(Z220="DATA CONFLICT - VERIFY","P1 - DATA CONFLICT",IF(Z220="SERVICE / STOCKOUT REVIEW","P1 - SERVICE",IF(Z220="OVERSTOCK REVIEW","P2 - OVERSTOCK",IF(Z220="REPLENISHMENT REVIEW","P2 - REPLENISH","P3 - MONITOR"))))</f>
        <v/>
      </c>
      <c r="AC220" s="16" t="n">
        <v>1546.069550561798</v>
      </c>
      <c r="AD220" s="16" t="n">
        <v>846.4730789325843</v>
      </c>
      <c r="AE220" s="16">
        <f>IF(OR(AD220="",H220=""),"",H220*AD220)</f>
        <v/>
      </c>
    </row>
    <row r="221">
      <c r="A221" s="7" t="inlineStr">
        <is>
          <t>2022-12-31</t>
        </is>
      </c>
      <c r="B221" s="7" t="n">
        <v>2239</v>
      </c>
      <c r="C221" s="8" t="inlineStr">
        <is>
          <t>VietMotion RP-36</t>
        </is>
      </c>
      <c r="D221" s="8" t="inlineStr">
        <is>
          <t>Outdoor</t>
        </is>
      </c>
      <c r="E221" s="7" t="inlineStr">
        <is>
          <t>Activewear</t>
        </is>
      </c>
      <c r="F221" s="7" t="inlineStr">
        <is>
          <t>XL</t>
        </is>
      </c>
      <c r="G221" s="7" t="inlineStr">
        <is>
          <t>yellow</t>
        </is>
      </c>
      <c r="H221" s="9" t="n">
        <v>412</v>
      </c>
      <c r="I221" s="9" t="n">
        <v>4</v>
      </c>
      <c r="J221" s="10" t="n">
        <v>2</v>
      </c>
      <c r="K221" s="10">
        <f>IFERROR(J221/30,0)</f>
        <v/>
      </c>
      <c r="L221" s="9" t="n">
        <v>2</v>
      </c>
      <c r="M221" s="11" t="n">
        <v>0.9333</v>
      </c>
      <c r="N221" s="9" t="n">
        <v>1</v>
      </c>
      <c r="O221" s="9" t="n">
        <v>1</v>
      </c>
      <c r="P221" s="9" t="n">
        <v>0</v>
      </c>
      <c r="Q221" s="12" t="n">
        <v>0</v>
      </c>
      <c r="R221" s="12" t="n">
        <v>0</v>
      </c>
      <c r="S221" s="9">
        <f>H221+Q221-R221</f>
        <v/>
      </c>
      <c r="T221" s="12" t="n">
        <v>14</v>
      </c>
      <c r="U221" s="12" t="n">
        <v>7</v>
      </c>
      <c r="V221" s="12" t="n">
        <v>7</v>
      </c>
      <c r="W221" s="10">
        <f>K221*(T221+U221)</f>
        <v/>
      </c>
      <c r="X221" s="10">
        <f>K221*(T221+U221+V221)</f>
        <v/>
      </c>
      <c r="Y221" s="10">
        <f>IF(K221&gt;0,H221/K221,99999)</f>
        <v/>
      </c>
      <c r="Z221" s="8">
        <f>IF(AND(OR(L221&gt;=1,M221&lt;0.95),Y221&gt;120),"DATA CONFLICT - VERIFY",IF(OR(L221&gt;=1,M221&lt;0.95,Y221&lt;=14),"SERVICE / STOCKOUT REVIEW",IF(Y221&gt;120,"OVERSTOCK REVIEW",IF(S221&lt;=W221,"REPLENISHMENT REVIEW","NORMAL MONITORING"))))</f>
        <v/>
      </c>
      <c r="AA221" s="9">
        <f>IF(OR(Z221="DATA CONFLICT - VERIFY",Z221="SERVICE / STOCKOUT REVIEW"),0,IF(S221&lt;=W221,MAX(0,ROUNDUP(X221-S221,0)),0))</f>
        <v/>
      </c>
      <c r="AB221" s="8">
        <f>IF(Z221="DATA CONFLICT - VERIFY","P1 - DATA CONFLICT",IF(Z221="SERVICE / STOCKOUT REVIEW","P1 - SERVICE",IF(Z221="OVERSTOCK REVIEW","P2 - OVERSTOCK",IF(Z221="REPLENISHMENT REVIEW","P2 - REPLENISH","P3 - MONITOR"))))</f>
        <v/>
      </c>
      <c r="AC221" s="10" t="n">
        <v>1546.069550561798</v>
      </c>
      <c r="AD221" s="10" t="n">
        <v>1225.105511865168</v>
      </c>
      <c r="AE221" s="10">
        <f>IF(OR(AD221="",H221=""),"",H221*AD221)</f>
        <v/>
      </c>
    </row>
    <row r="222">
      <c r="A222" s="13" t="inlineStr">
        <is>
          <t>2022-12-31</t>
        </is>
      </c>
      <c r="B222" s="13" t="n">
        <v>2252</v>
      </c>
      <c r="C222" s="14" t="inlineStr">
        <is>
          <t>VietMotion RP-49</t>
        </is>
      </c>
      <c r="D222" s="14" t="inlineStr">
        <is>
          <t>Outdoor</t>
        </is>
      </c>
      <c r="E222" s="13" t="inlineStr">
        <is>
          <t>Activewear</t>
        </is>
      </c>
      <c r="F222" s="13" t="inlineStr">
        <is>
          <t>S</t>
        </is>
      </c>
      <c r="G222" s="13" t="inlineStr">
        <is>
          <t>orange</t>
        </is>
      </c>
      <c r="H222" s="15" t="n">
        <v>590</v>
      </c>
      <c r="I222" s="15" t="n">
        <v>2</v>
      </c>
      <c r="J222" s="16" t="n">
        <v>1.666666666666667</v>
      </c>
      <c r="K222" s="16">
        <f>IFERROR(J222/30,0)</f>
        <v/>
      </c>
      <c r="L222" s="15" t="n">
        <v>1</v>
      </c>
      <c r="M222" s="17" t="n">
        <v>0.9667</v>
      </c>
      <c r="N222" s="15" t="n">
        <v>1</v>
      </c>
      <c r="O222" s="15" t="n">
        <v>1</v>
      </c>
      <c r="P222" s="15" t="n">
        <v>0</v>
      </c>
      <c r="Q222" s="12" t="n">
        <v>0</v>
      </c>
      <c r="R222" s="12" t="n">
        <v>0</v>
      </c>
      <c r="S222" s="15">
        <f>H222+Q222-R222</f>
        <v/>
      </c>
      <c r="T222" s="12" t="n">
        <v>14</v>
      </c>
      <c r="U222" s="12" t="n">
        <v>7</v>
      </c>
      <c r="V222" s="12" t="n">
        <v>7</v>
      </c>
      <c r="W222" s="16">
        <f>K222*(T222+U222)</f>
        <v/>
      </c>
      <c r="X222" s="16">
        <f>K222*(T222+U222+V222)</f>
        <v/>
      </c>
      <c r="Y222" s="16">
        <f>IF(K222&gt;0,H222/K222,99999)</f>
        <v/>
      </c>
      <c r="Z222" s="14">
        <f>IF(AND(OR(L222&gt;=1,M222&lt;0.95),Y222&gt;120),"DATA CONFLICT - VERIFY",IF(OR(L222&gt;=1,M222&lt;0.95,Y222&lt;=14),"SERVICE / STOCKOUT REVIEW",IF(Y222&gt;120,"OVERSTOCK REVIEW",IF(S222&lt;=W222,"REPLENISHMENT REVIEW","NORMAL MONITORING"))))</f>
        <v/>
      </c>
      <c r="AA222" s="15">
        <f>IF(OR(Z222="DATA CONFLICT - VERIFY",Z222="SERVICE / STOCKOUT REVIEW"),0,IF(S222&lt;=W222,MAX(0,ROUNDUP(X222-S222,0)),0))</f>
        <v/>
      </c>
      <c r="AB222" s="14">
        <f>IF(Z222="DATA CONFLICT - VERIFY","P1 - DATA CONFLICT",IF(Z222="SERVICE / STOCKOUT REVIEW","P1 - SERVICE",IF(Z222="OVERSTOCK REVIEW","P2 - OVERSTOCK",IF(Z222="REPLENISHMENT REVIEW","P2 - REPLENISH","P3 - MONITOR"))))</f>
        <v/>
      </c>
      <c r="AC222" s="16" t="n">
        <v>1621.553747609942</v>
      </c>
      <c r="AD222" s="16" t="n">
        <v>1087.413943147227</v>
      </c>
      <c r="AE222" s="16">
        <f>IF(OR(AD222="",H222=""),"",H222*AD222)</f>
        <v/>
      </c>
    </row>
    <row r="223">
      <c r="A223" s="7" t="inlineStr">
        <is>
          <t>2022-12-31</t>
        </is>
      </c>
      <c r="B223" s="7" t="n">
        <v>2253</v>
      </c>
      <c r="C223" s="8" t="inlineStr">
        <is>
          <t>VietMotion RP-50</t>
        </is>
      </c>
      <c r="D223" s="8" t="inlineStr">
        <is>
          <t>Outdoor</t>
        </is>
      </c>
      <c r="E223" s="7" t="inlineStr">
        <is>
          <t>Activewear</t>
        </is>
      </c>
      <c r="F223" s="7" t="inlineStr">
        <is>
          <t>M</t>
        </is>
      </c>
      <c r="G223" s="7" t="inlineStr">
        <is>
          <t>blue</t>
        </is>
      </c>
      <c r="H223" s="9" t="n">
        <v>639</v>
      </c>
      <c r="I223" s="9" t="n">
        <v>2</v>
      </c>
      <c r="J223" s="10" t="n">
        <v>1.666666666666667</v>
      </c>
      <c r="K223" s="10">
        <f>IFERROR(J223/30,0)</f>
        <v/>
      </c>
      <c r="L223" s="9" t="n">
        <v>2</v>
      </c>
      <c r="M223" s="11" t="n">
        <v>0.9333</v>
      </c>
      <c r="N223" s="9" t="n">
        <v>1</v>
      </c>
      <c r="O223" s="9" t="n">
        <v>1</v>
      </c>
      <c r="P223" s="9" t="n">
        <v>0</v>
      </c>
      <c r="Q223" s="12" t="n">
        <v>0</v>
      </c>
      <c r="R223" s="12" t="n">
        <v>0</v>
      </c>
      <c r="S223" s="9">
        <f>H223+Q223-R223</f>
        <v/>
      </c>
      <c r="T223" s="12" t="n">
        <v>14</v>
      </c>
      <c r="U223" s="12" t="n">
        <v>7</v>
      </c>
      <c r="V223" s="12" t="n">
        <v>7</v>
      </c>
      <c r="W223" s="10">
        <f>K223*(T223+U223)</f>
        <v/>
      </c>
      <c r="X223" s="10">
        <f>K223*(T223+U223+V223)</f>
        <v/>
      </c>
      <c r="Y223" s="10">
        <f>IF(K223&gt;0,H223/K223,99999)</f>
        <v/>
      </c>
      <c r="Z223" s="8">
        <f>IF(AND(OR(L223&gt;=1,M223&lt;0.95),Y223&gt;120),"DATA CONFLICT - VERIFY",IF(OR(L223&gt;=1,M223&lt;0.95,Y223&lt;=14),"SERVICE / STOCKOUT REVIEW",IF(Y223&gt;120,"OVERSTOCK REVIEW",IF(S223&lt;=W223,"REPLENISHMENT REVIEW","NORMAL MONITORING"))))</f>
        <v/>
      </c>
      <c r="AA223" s="9">
        <f>IF(OR(Z223="DATA CONFLICT - VERIFY",Z223="SERVICE / STOCKOUT REVIEW"),0,IF(S223&lt;=W223,MAX(0,ROUNDUP(X223-S223,0)),0))</f>
        <v/>
      </c>
      <c r="AB223" s="8">
        <f>IF(Z223="DATA CONFLICT - VERIFY","P1 - DATA CONFLICT",IF(Z223="SERVICE / STOCKOUT REVIEW","P1 - SERVICE",IF(Z223="OVERSTOCK REVIEW","P2 - OVERSTOCK",IF(Z223="REPLENISHMENT REVIEW","P2 - REPLENISH","P3 - MONITOR"))))</f>
        <v/>
      </c>
      <c r="AC223" s="10" t="n">
        <v>1621.553747609942</v>
      </c>
      <c r="AD223" s="10" t="n">
        <v>1250.86656090631</v>
      </c>
      <c r="AE223" s="10">
        <f>IF(OR(AD223="",H223=""),"",H223*AD223)</f>
        <v/>
      </c>
    </row>
    <row r="224">
      <c r="A224" s="13" t="inlineStr">
        <is>
          <t>2022-12-31</t>
        </is>
      </c>
      <c r="B224" s="13" t="n">
        <v>2254</v>
      </c>
      <c r="C224" s="14" t="inlineStr">
        <is>
          <t>VietMotion RP-51</t>
        </is>
      </c>
      <c r="D224" s="14" t="inlineStr">
        <is>
          <t>Outdoor</t>
        </is>
      </c>
      <c r="E224" s="13" t="inlineStr">
        <is>
          <t>Activewear</t>
        </is>
      </c>
      <c r="F224" s="13" t="inlineStr">
        <is>
          <t>L</t>
        </is>
      </c>
      <c r="G224" s="13" t="inlineStr">
        <is>
          <t>white</t>
        </is>
      </c>
      <c r="H224" s="15" t="n">
        <v>828</v>
      </c>
      <c r="I224" s="15" t="n">
        <v>25</v>
      </c>
      <c r="J224" s="16" t="n">
        <v>12</v>
      </c>
      <c r="K224" s="16">
        <f>IFERROR(J224/30,0)</f>
        <v/>
      </c>
      <c r="L224" s="15" t="n">
        <v>1</v>
      </c>
      <c r="M224" s="17" t="n">
        <v>0.9667</v>
      </c>
      <c r="N224" s="15" t="n">
        <v>1</v>
      </c>
      <c r="O224" s="15" t="n">
        <v>1</v>
      </c>
      <c r="P224" s="15" t="n">
        <v>0</v>
      </c>
      <c r="Q224" s="12" t="n">
        <v>0</v>
      </c>
      <c r="R224" s="12" t="n">
        <v>0</v>
      </c>
      <c r="S224" s="15">
        <f>H224+Q224-R224</f>
        <v/>
      </c>
      <c r="T224" s="12" t="n">
        <v>14</v>
      </c>
      <c r="U224" s="12" t="n">
        <v>7</v>
      </c>
      <c r="V224" s="12" t="n">
        <v>7</v>
      </c>
      <c r="W224" s="16">
        <f>K224*(T224+U224)</f>
        <v/>
      </c>
      <c r="X224" s="16">
        <f>K224*(T224+U224+V224)</f>
        <v/>
      </c>
      <c r="Y224" s="16">
        <f>IF(K224&gt;0,H224/K224,99999)</f>
        <v/>
      </c>
      <c r="Z224" s="14">
        <f>IF(AND(OR(L224&gt;=1,M224&lt;0.95),Y224&gt;120),"DATA CONFLICT - VERIFY",IF(OR(L224&gt;=1,M224&lt;0.95,Y224&lt;=14),"SERVICE / STOCKOUT REVIEW",IF(Y224&gt;120,"OVERSTOCK REVIEW",IF(S224&lt;=W224,"REPLENISHMENT REVIEW","NORMAL MONITORING"))))</f>
        <v/>
      </c>
      <c r="AA224" s="15">
        <f>IF(OR(Z224="DATA CONFLICT - VERIFY",Z224="SERVICE / STOCKOUT REVIEW"),0,IF(S224&lt;=W224,MAX(0,ROUNDUP(X224-S224,0)),0))</f>
        <v/>
      </c>
      <c r="AB224" s="14">
        <f>IF(Z224="DATA CONFLICT - VERIFY","P1 - DATA CONFLICT",IF(Z224="SERVICE / STOCKOUT REVIEW","P1 - SERVICE",IF(Z224="OVERSTOCK REVIEW","P2 - OVERSTOCK",IF(Z224="REPLENISHMENT REVIEW","P2 - REPLENISH","P3 - MONITOR"))))</f>
        <v/>
      </c>
      <c r="AC224" s="16" t="n">
        <v>715.600871757925</v>
      </c>
      <c r="AD224" s="16" t="n">
        <v>486.6801528825648</v>
      </c>
      <c r="AE224" s="16">
        <f>IF(OR(AD224="",H224=""),"",H224*AD224)</f>
        <v/>
      </c>
    </row>
    <row r="225">
      <c r="A225" s="7" t="inlineStr">
        <is>
          <t>2022-12-31</t>
        </is>
      </c>
      <c r="B225" s="7" t="n">
        <v>2255</v>
      </c>
      <c r="C225" s="8" t="inlineStr">
        <is>
          <t>VietMotion RP-52</t>
        </is>
      </c>
      <c r="D225" s="8" t="inlineStr">
        <is>
          <t>Outdoor</t>
        </is>
      </c>
      <c r="E225" s="7" t="inlineStr">
        <is>
          <t>Activewear</t>
        </is>
      </c>
      <c r="F225" s="7" t="inlineStr">
        <is>
          <t>XL</t>
        </is>
      </c>
      <c r="G225" s="7" t="inlineStr">
        <is>
          <t>purple</t>
        </is>
      </c>
      <c r="H225" s="9" t="n">
        <v>824</v>
      </c>
      <c r="I225" s="9" t="n">
        <v>25</v>
      </c>
      <c r="J225" s="10" t="n">
        <v>12</v>
      </c>
      <c r="K225" s="10">
        <f>IFERROR(J225/30,0)</f>
        <v/>
      </c>
      <c r="L225" s="9" t="n">
        <v>0</v>
      </c>
      <c r="M225" s="11" t="n">
        <v>1</v>
      </c>
      <c r="N225" s="9" t="n">
        <v>0</v>
      </c>
      <c r="O225" s="9" t="n">
        <v>1</v>
      </c>
      <c r="P225" s="9" t="n">
        <v>0</v>
      </c>
      <c r="Q225" s="12" t="n">
        <v>0</v>
      </c>
      <c r="R225" s="12" t="n">
        <v>0</v>
      </c>
      <c r="S225" s="9">
        <f>H225+Q225-R225</f>
        <v/>
      </c>
      <c r="T225" s="12" t="n">
        <v>14</v>
      </c>
      <c r="U225" s="12" t="n">
        <v>7</v>
      </c>
      <c r="V225" s="12" t="n">
        <v>7</v>
      </c>
      <c r="W225" s="10">
        <f>K225*(T225+U225)</f>
        <v/>
      </c>
      <c r="X225" s="10">
        <f>K225*(T225+U225+V225)</f>
        <v/>
      </c>
      <c r="Y225" s="10">
        <f>IF(K225&gt;0,H225/K225,99999)</f>
        <v/>
      </c>
      <c r="Z225" s="8">
        <f>IF(AND(OR(L225&gt;=1,M225&lt;0.95),Y225&gt;120),"DATA CONFLICT - VERIFY",IF(OR(L225&gt;=1,M225&lt;0.95,Y225&lt;=14),"SERVICE / STOCKOUT REVIEW",IF(Y225&gt;120,"OVERSTOCK REVIEW",IF(S225&lt;=W225,"REPLENISHMENT REVIEW","NORMAL MONITORING"))))</f>
        <v/>
      </c>
      <c r="AA225" s="9">
        <f>IF(OR(Z225="DATA CONFLICT - VERIFY",Z225="SERVICE / STOCKOUT REVIEW"),0,IF(S225&lt;=W225,MAX(0,ROUNDUP(X225-S225,0)),0))</f>
        <v/>
      </c>
      <c r="AB225" s="8">
        <f>IF(Z225="DATA CONFLICT - VERIFY","P1 - DATA CONFLICT",IF(Z225="SERVICE / STOCKOUT REVIEW","P1 - SERVICE",IF(Z225="OVERSTOCK REVIEW","P2 - OVERSTOCK",IF(Z225="REPLENISHMENT REVIEW","P2 - REPLENISH","P3 - MONITOR"))))</f>
        <v/>
      </c>
      <c r="AC225" s="10" t="n">
        <v>715.600871757925</v>
      </c>
      <c r="AD225" s="10" t="n">
        <v>679.8208281700287</v>
      </c>
      <c r="AE225" s="10">
        <f>IF(OR(AD225="",H225=""),"",H225*AD225)</f>
        <v/>
      </c>
    </row>
    <row r="226">
      <c r="A226" s="13" t="inlineStr">
        <is>
          <t>2022-12-31</t>
        </is>
      </c>
      <c r="B226" s="13" t="n">
        <v>2262</v>
      </c>
      <c r="C226" s="14" t="inlineStr">
        <is>
          <t>VietMotion RP-59</t>
        </is>
      </c>
      <c r="D226" s="14" t="inlineStr">
        <is>
          <t>Outdoor</t>
        </is>
      </c>
      <c r="E226" s="13" t="inlineStr">
        <is>
          <t>Activewear</t>
        </is>
      </c>
      <c r="F226" s="13" t="inlineStr">
        <is>
          <t>L</t>
        </is>
      </c>
      <c r="G226" s="13" t="inlineStr">
        <is>
          <t>orange</t>
        </is>
      </c>
      <c r="H226" s="15" t="n">
        <v>321</v>
      </c>
      <c r="I226" s="15" t="n">
        <v>11</v>
      </c>
      <c r="J226" s="16" t="n">
        <v>8</v>
      </c>
      <c r="K226" s="16">
        <f>IFERROR(J226/30,0)</f>
        <v/>
      </c>
      <c r="L226" s="15" t="n">
        <v>1</v>
      </c>
      <c r="M226" s="17" t="n">
        <v>0.9667</v>
      </c>
      <c r="N226" s="15" t="n">
        <v>1</v>
      </c>
      <c r="O226" s="15" t="n">
        <v>1</v>
      </c>
      <c r="P226" s="15" t="n">
        <v>0</v>
      </c>
      <c r="Q226" s="12" t="n">
        <v>0</v>
      </c>
      <c r="R226" s="12" t="n">
        <v>0</v>
      </c>
      <c r="S226" s="15">
        <f>H226+Q226-R226</f>
        <v/>
      </c>
      <c r="T226" s="12" t="n">
        <v>14</v>
      </c>
      <c r="U226" s="12" t="n">
        <v>7</v>
      </c>
      <c r="V226" s="12" t="n">
        <v>7</v>
      </c>
      <c r="W226" s="16">
        <f>K226*(T226+U226)</f>
        <v/>
      </c>
      <c r="X226" s="16">
        <f>K226*(T226+U226+V226)</f>
        <v/>
      </c>
      <c r="Y226" s="16">
        <f>IF(K226&gt;0,H226/K226,99999)</f>
        <v/>
      </c>
      <c r="Z226" s="14">
        <f>IF(AND(OR(L226&gt;=1,M226&lt;0.95),Y226&gt;120),"DATA CONFLICT - VERIFY",IF(OR(L226&gt;=1,M226&lt;0.95,Y226&lt;=14),"SERVICE / STOCKOUT REVIEW",IF(Y226&gt;120,"OVERSTOCK REVIEW",IF(S226&lt;=W226,"REPLENISHMENT REVIEW","NORMAL MONITORING"))))</f>
        <v/>
      </c>
      <c r="AA226" s="15">
        <f>IF(OR(Z226="DATA CONFLICT - VERIFY",Z226="SERVICE / STOCKOUT REVIEW"),0,IF(S226&lt;=W226,MAX(0,ROUNDUP(X226-S226,0)),0))</f>
        <v/>
      </c>
      <c r="AB226" s="14">
        <f>IF(Z226="DATA CONFLICT - VERIFY","P1 - DATA CONFLICT",IF(Z226="SERVICE / STOCKOUT REVIEW","P1 - SERVICE",IF(Z226="OVERSTOCK REVIEW","P2 - OVERSTOCK",IF(Z226="REPLENISHMENT REVIEW","P2 - REPLENISH","P3 - MONITOR"))))</f>
        <v/>
      </c>
      <c r="AC226" s="16" t="n">
        <v>3918.239568919638</v>
      </c>
      <c r="AD226" s="16" t="n">
        <v>3722.327590473656</v>
      </c>
      <c r="AE226" s="16">
        <f>IF(OR(AD226="",H226=""),"",H226*AD226)</f>
        <v/>
      </c>
    </row>
    <row r="227">
      <c r="A227" s="7" t="inlineStr">
        <is>
          <t>2022-12-31</t>
        </is>
      </c>
      <c r="B227" s="7" t="n">
        <v>2263</v>
      </c>
      <c r="C227" s="8" t="inlineStr">
        <is>
          <t>VietMotion RP-60</t>
        </is>
      </c>
      <c r="D227" s="8" t="inlineStr">
        <is>
          <t>Outdoor</t>
        </is>
      </c>
      <c r="E227" s="7" t="inlineStr">
        <is>
          <t>Activewear</t>
        </is>
      </c>
      <c r="F227" s="7" t="inlineStr">
        <is>
          <t>XL</t>
        </is>
      </c>
      <c r="G227" s="7" t="inlineStr">
        <is>
          <t>blue</t>
        </is>
      </c>
      <c r="H227" s="9" t="n">
        <v>332</v>
      </c>
      <c r="I227" s="9" t="n">
        <v>11</v>
      </c>
      <c r="J227" s="10" t="n">
        <v>8</v>
      </c>
      <c r="K227" s="10">
        <f>IFERROR(J227/30,0)</f>
        <v/>
      </c>
      <c r="L227" s="9" t="n">
        <v>1</v>
      </c>
      <c r="M227" s="11" t="n">
        <v>0.9667</v>
      </c>
      <c r="N227" s="9" t="n">
        <v>1</v>
      </c>
      <c r="O227" s="9" t="n">
        <v>1</v>
      </c>
      <c r="P227" s="9" t="n">
        <v>0</v>
      </c>
      <c r="Q227" s="12" t="n">
        <v>0</v>
      </c>
      <c r="R227" s="12" t="n">
        <v>0</v>
      </c>
      <c r="S227" s="9">
        <f>H227+Q227-R227</f>
        <v/>
      </c>
      <c r="T227" s="12" t="n">
        <v>14</v>
      </c>
      <c r="U227" s="12" t="n">
        <v>7</v>
      </c>
      <c r="V227" s="12" t="n">
        <v>7</v>
      </c>
      <c r="W227" s="10">
        <f>K227*(T227+U227)</f>
        <v/>
      </c>
      <c r="X227" s="10">
        <f>K227*(T227+U227+V227)</f>
        <v/>
      </c>
      <c r="Y227" s="10">
        <f>IF(K227&gt;0,H227/K227,99999)</f>
        <v/>
      </c>
      <c r="Z227" s="8">
        <f>IF(AND(OR(L227&gt;=1,M227&lt;0.95),Y227&gt;120),"DATA CONFLICT - VERIFY",IF(OR(L227&gt;=1,M227&lt;0.95,Y227&lt;=14),"SERVICE / STOCKOUT REVIEW",IF(Y227&gt;120,"OVERSTOCK REVIEW",IF(S227&lt;=W227,"REPLENISHMENT REVIEW","NORMAL MONITORING"))))</f>
        <v/>
      </c>
      <c r="AA227" s="9">
        <f>IF(OR(Z227="DATA CONFLICT - VERIFY",Z227="SERVICE / STOCKOUT REVIEW"),0,IF(S227&lt;=W227,MAX(0,ROUNDUP(X227-S227,0)),0))</f>
        <v/>
      </c>
      <c r="AB227" s="8">
        <f>IF(Z227="DATA CONFLICT - VERIFY","P1 - DATA CONFLICT",IF(Z227="SERVICE / STOCKOUT REVIEW","P1 - SERVICE",IF(Z227="OVERSTOCK REVIEW","P2 - OVERSTOCK",IF(Z227="REPLENISHMENT REVIEW","P2 - REPLENISH","P3 - MONITOR"))))</f>
        <v/>
      </c>
      <c r="AC227" s="10" t="n">
        <v>3918.239568919638</v>
      </c>
      <c r="AD227" s="10" t="n">
        <v>3722.327590473656</v>
      </c>
      <c r="AE227" s="10">
        <f>IF(OR(AD227="",H227=""),"",H227*AD227)</f>
        <v/>
      </c>
    </row>
    <row r="228">
      <c r="A228" s="13" t="inlineStr">
        <is>
          <t>2022-12-31</t>
        </is>
      </c>
      <c r="B228" s="13" t="n">
        <v>2269</v>
      </c>
      <c r="C228" s="14" t="inlineStr">
        <is>
          <t>VietMotion RS-02</t>
        </is>
      </c>
      <c r="D228" s="14" t="inlineStr">
        <is>
          <t>Outdoor</t>
        </is>
      </c>
      <c r="E228" s="13" t="inlineStr">
        <is>
          <t>Premium</t>
        </is>
      </c>
      <c r="F228" s="13" t="inlineStr">
        <is>
          <t>M</t>
        </is>
      </c>
      <c r="G228" s="13" t="inlineStr">
        <is>
          <t>yellow</t>
        </is>
      </c>
      <c r="H228" s="15" t="n">
        <v>1178</v>
      </c>
      <c r="I228" s="15" t="n">
        <v>24</v>
      </c>
      <c r="J228" s="16" t="n">
        <v>16</v>
      </c>
      <c r="K228" s="16">
        <f>IFERROR(J228/30,0)</f>
        <v/>
      </c>
      <c r="L228" s="15" t="n">
        <v>0</v>
      </c>
      <c r="M228" s="17" t="n">
        <v>1</v>
      </c>
      <c r="N228" s="15" t="n">
        <v>0</v>
      </c>
      <c r="O228" s="15" t="n">
        <v>1</v>
      </c>
      <c r="P228" s="15" t="n">
        <v>0</v>
      </c>
      <c r="Q228" s="12" t="n">
        <v>0</v>
      </c>
      <c r="R228" s="12" t="n">
        <v>0</v>
      </c>
      <c r="S228" s="15">
        <f>H228+Q228-R228</f>
        <v/>
      </c>
      <c r="T228" s="12" t="n">
        <v>14</v>
      </c>
      <c r="U228" s="12" t="n">
        <v>7</v>
      </c>
      <c r="V228" s="12" t="n">
        <v>7</v>
      </c>
      <c r="W228" s="16">
        <f>K228*(T228+U228)</f>
        <v/>
      </c>
      <c r="X228" s="16">
        <f>K228*(T228+U228+V228)</f>
        <v/>
      </c>
      <c r="Y228" s="16">
        <f>IF(K228&gt;0,H228/K228,99999)</f>
        <v/>
      </c>
      <c r="Z228" s="14">
        <f>IF(AND(OR(L228&gt;=1,M228&lt;0.95),Y228&gt;120),"DATA CONFLICT - VERIFY",IF(OR(L228&gt;=1,M228&lt;0.95,Y228&lt;=14),"SERVICE / STOCKOUT REVIEW",IF(Y228&gt;120,"OVERSTOCK REVIEW",IF(S228&lt;=W228,"REPLENISHMENT REVIEW","NORMAL MONITORING"))))</f>
        <v/>
      </c>
      <c r="AA228" s="15">
        <f>IF(OR(Z228="DATA CONFLICT - VERIFY",Z228="SERVICE / STOCKOUT REVIEW"),0,IF(S228&lt;=W228,MAX(0,ROUNDUP(X228-S228,0)),0))</f>
        <v/>
      </c>
      <c r="AB228" s="14">
        <f>IF(Z228="DATA CONFLICT - VERIFY","P1 - DATA CONFLICT",IF(Z228="SERVICE / STOCKOUT REVIEW","P1 - SERVICE",IF(Z228="OVERSTOCK REVIEW","P2 - OVERSTOCK",IF(Z228="REPLENISHMENT REVIEW","P2 - REPLENISH","P3 - MONITOR"))))</f>
        <v/>
      </c>
      <c r="AC228" s="16" t="n">
        <v>3915.427786872344</v>
      </c>
      <c r="AD228" s="16" t="n">
        <v>3719.656397528726</v>
      </c>
      <c r="AE228" s="16">
        <f>IF(OR(AD228="",H228=""),"",H228*AD228)</f>
        <v/>
      </c>
    </row>
    <row r="229">
      <c r="A229" s="7" t="inlineStr">
        <is>
          <t>2022-12-31</t>
        </is>
      </c>
      <c r="B229" s="7" t="n">
        <v>2275</v>
      </c>
      <c r="C229" s="8" t="inlineStr">
        <is>
          <t>VietMotion RS-08</t>
        </is>
      </c>
      <c r="D229" s="8" t="inlineStr">
        <is>
          <t>Outdoor</t>
        </is>
      </c>
      <c r="E229" s="7" t="inlineStr">
        <is>
          <t>Premium</t>
        </is>
      </c>
      <c r="F229" s="7" t="inlineStr">
        <is>
          <t>XL</t>
        </is>
      </c>
      <c r="G229" s="7" t="inlineStr">
        <is>
          <t>purple</t>
        </is>
      </c>
      <c r="H229" s="9" t="n">
        <v>1050</v>
      </c>
      <c r="I229" s="9" t="n">
        <v>8</v>
      </c>
      <c r="J229" s="10" t="n">
        <v>13.33333333333333</v>
      </c>
      <c r="K229" s="10">
        <f>IFERROR(J229/30,0)</f>
        <v/>
      </c>
      <c r="L229" s="9" t="n">
        <v>1</v>
      </c>
      <c r="M229" s="11" t="n">
        <v>0.9667</v>
      </c>
      <c r="N229" s="9" t="n">
        <v>1</v>
      </c>
      <c r="O229" s="9" t="n">
        <v>1</v>
      </c>
      <c r="P229" s="9" t="n">
        <v>0</v>
      </c>
      <c r="Q229" s="12" t="n">
        <v>0</v>
      </c>
      <c r="R229" s="12" t="n">
        <v>0</v>
      </c>
      <c r="S229" s="9">
        <f>H229+Q229-R229</f>
        <v/>
      </c>
      <c r="T229" s="12" t="n">
        <v>14</v>
      </c>
      <c r="U229" s="12" t="n">
        <v>7</v>
      </c>
      <c r="V229" s="12" t="n">
        <v>7</v>
      </c>
      <c r="W229" s="10">
        <f>K229*(T229+U229)</f>
        <v/>
      </c>
      <c r="X229" s="10">
        <f>K229*(T229+U229+V229)</f>
        <v/>
      </c>
      <c r="Y229" s="10">
        <f>IF(K229&gt;0,H229/K229,99999)</f>
        <v/>
      </c>
      <c r="Z229" s="8">
        <f>IF(AND(OR(L229&gt;=1,M229&lt;0.95),Y229&gt;120),"DATA CONFLICT - VERIFY",IF(OR(L229&gt;=1,M229&lt;0.95,Y229&lt;=14),"SERVICE / STOCKOUT REVIEW",IF(Y229&gt;120,"OVERSTOCK REVIEW",IF(S229&lt;=W229,"REPLENISHMENT REVIEW","NORMAL MONITORING"))))</f>
        <v/>
      </c>
      <c r="AA229" s="9">
        <f>IF(OR(Z229="DATA CONFLICT - VERIFY",Z229="SERVICE / STOCKOUT REVIEW"),0,IF(S229&lt;=W229,MAX(0,ROUNDUP(X229-S229,0)),0))</f>
        <v/>
      </c>
      <c r="AB229" s="8">
        <f>IF(Z229="DATA CONFLICT - VERIFY","P1 - DATA CONFLICT",IF(Z229="SERVICE / STOCKOUT REVIEW","P1 - SERVICE",IF(Z229="OVERSTOCK REVIEW","P2 - OVERSTOCK",IF(Z229="REPLENISHMENT REVIEW","P2 - REPLENISH","P3 - MONITOR"))))</f>
        <v/>
      </c>
      <c r="AC229" s="10" t="n">
        <v>4487.59171875</v>
      </c>
      <c r="AD229" s="10" t="n">
        <v>3906.89735034375</v>
      </c>
      <c r="AE229" s="10">
        <f>IF(OR(AD229="",H229=""),"",H229*AD229)</f>
        <v/>
      </c>
    </row>
    <row r="230">
      <c r="A230" s="13" t="inlineStr">
        <is>
          <t>2022-12-31</t>
        </is>
      </c>
      <c r="B230" s="13" t="n">
        <v>2277</v>
      </c>
      <c r="C230" s="14" t="inlineStr">
        <is>
          <t>VietMotion RS-10</t>
        </is>
      </c>
      <c r="D230" s="14" t="inlineStr">
        <is>
          <t>Outdoor</t>
        </is>
      </c>
      <c r="E230" s="13" t="inlineStr">
        <is>
          <t>Premium</t>
        </is>
      </c>
      <c r="F230" s="13" t="inlineStr">
        <is>
          <t>M</t>
        </is>
      </c>
      <c r="G230" s="13" t="inlineStr">
        <is>
          <t>silver</t>
        </is>
      </c>
      <c r="H230" s="15" t="n">
        <v>402</v>
      </c>
      <c r="I230" s="15" t="n">
        <v>8</v>
      </c>
      <c r="J230" s="16" t="n">
        <v>4</v>
      </c>
      <c r="K230" s="16">
        <f>IFERROR(J230/30,0)</f>
        <v/>
      </c>
      <c r="L230" s="15" t="n">
        <v>2</v>
      </c>
      <c r="M230" s="17" t="n">
        <v>0.9333</v>
      </c>
      <c r="N230" s="15" t="n">
        <v>1</v>
      </c>
      <c r="O230" s="15" t="n">
        <v>1</v>
      </c>
      <c r="P230" s="15" t="n">
        <v>0</v>
      </c>
      <c r="Q230" s="12" t="n">
        <v>0</v>
      </c>
      <c r="R230" s="12" t="n">
        <v>0</v>
      </c>
      <c r="S230" s="15">
        <f>H230+Q230-R230</f>
        <v/>
      </c>
      <c r="T230" s="12" t="n">
        <v>14</v>
      </c>
      <c r="U230" s="12" t="n">
        <v>7</v>
      </c>
      <c r="V230" s="12" t="n">
        <v>7</v>
      </c>
      <c r="W230" s="16">
        <f>K230*(T230+U230)</f>
        <v/>
      </c>
      <c r="X230" s="16">
        <f>K230*(T230+U230+V230)</f>
        <v/>
      </c>
      <c r="Y230" s="16">
        <f>IF(K230&gt;0,H230/K230,99999)</f>
        <v/>
      </c>
      <c r="Z230" s="14">
        <f>IF(AND(OR(L230&gt;=1,M230&lt;0.95),Y230&gt;120),"DATA CONFLICT - VERIFY",IF(OR(L230&gt;=1,M230&lt;0.95,Y230&lt;=14),"SERVICE / STOCKOUT REVIEW",IF(Y230&gt;120,"OVERSTOCK REVIEW",IF(S230&lt;=W230,"REPLENISHMENT REVIEW","NORMAL MONITORING"))))</f>
        <v/>
      </c>
      <c r="AA230" s="15">
        <f>IF(OR(Z230="DATA CONFLICT - VERIFY",Z230="SERVICE / STOCKOUT REVIEW"),0,IF(S230&lt;=W230,MAX(0,ROUNDUP(X230-S230,0)),0))</f>
        <v/>
      </c>
      <c r="AB230" s="14">
        <f>IF(Z230="DATA CONFLICT - VERIFY","P1 - DATA CONFLICT",IF(Z230="SERVICE / STOCKOUT REVIEW","P1 - SERVICE",IF(Z230="OVERSTOCK REVIEW","P2 - OVERSTOCK",IF(Z230="REPLENISHMENT REVIEW","P2 - REPLENISH","P3 - MONITOR"))))</f>
        <v/>
      </c>
      <c r="AC230" s="16" t="n">
        <v>3358.794231856739</v>
      </c>
      <c r="AD230" s="16" t="n">
        <v>3190.854520263902</v>
      </c>
      <c r="AE230" s="16">
        <f>IF(OR(AD230="",H230=""),"",H230*AD230)</f>
        <v/>
      </c>
    </row>
    <row r="231">
      <c r="A231" s="7" t="inlineStr">
        <is>
          <t>2022-12-31</t>
        </is>
      </c>
      <c r="B231" s="7" t="n">
        <v>2280</v>
      </c>
      <c r="C231" s="8" t="inlineStr">
        <is>
          <t>VietMotion RS-13</t>
        </is>
      </c>
      <c r="D231" s="8" t="inlineStr">
        <is>
          <t>Outdoor</t>
        </is>
      </c>
      <c r="E231" s="7" t="inlineStr">
        <is>
          <t>Premium</t>
        </is>
      </c>
      <c r="F231" s="7" t="inlineStr">
        <is>
          <t>S</t>
        </is>
      </c>
      <c r="G231" s="7" t="inlineStr">
        <is>
          <t>red</t>
        </is>
      </c>
      <c r="H231" s="9" t="n">
        <v>474</v>
      </c>
      <c r="I231" s="9" t="n">
        <v>4</v>
      </c>
      <c r="J231" s="10" t="n">
        <v>5</v>
      </c>
      <c r="K231" s="10">
        <f>IFERROR(J231/30,0)</f>
        <v/>
      </c>
      <c r="L231" s="9" t="n">
        <v>0</v>
      </c>
      <c r="M231" s="11" t="n">
        <v>1</v>
      </c>
      <c r="N231" s="9" t="n">
        <v>0</v>
      </c>
      <c r="O231" s="9" t="n">
        <v>1</v>
      </c>
      <c r="P231" s="9" t="n">
        <v>0</v>
      </c>
      <c r="Q231" s="12" t="n">
        <v>0</v>
      </c>
      <c r="R231" s="12" t="n">
        <v>0</v>
      </c>
      <c r="S231" s="9">
        <f>H231+Q231-R231</f>
        <v/>
      </c>
      <c r="T231" s="12" t="n">
        <v>14</v>
      </c>
      <c r="U231" s="12" t="n">
        <v>7</v>
      </c>
      <c r="V231" s="12" t="n">
        <v>7</v>
      </c>
      <c r="W231" s="10">
        <f>K231*(T231+U231)</f>
        <v/>
      </c>
      <c r="X231" s="10">
        <f>K231*(T231+U231+V231)</f>
        <v/>
      </c>
      <c r="Y231" s="10">
        <f>IF(K231&gt;0,H231/K231,99999)</f>
        <v/>
      </c>
      <c r="Z231" s="8">
        <f>IF(AND(OR(L231&gt;=1,M231&lt;0.95),Y231&gt;120),"DATA CONFLICT - VERIFY",IF(OR(L231&gt;=1,M231&lt;0.95,Y231&lt;=14),"SERVICE / STOCKOUT REVIEW",IF(Y231&gt;120,"OVERSTOCK REVIEW",IF(S231&lt;=W231,"REPLENISHMENT REVIEW","NORMAL MONITORING"))))</f>
        <v/>
      </c>
      <c r="AA231" s="9">
        <f>IF(OR(Z231="DATA CONFLICT - VERIFY",Z231="SERVICE / STOCKOUT REVIEW"),0,IF(S231&lt;=W231,MAX(0,ROUNDUP(X231-S231,0)),0))</f>
        <v/>
      </c>
      <c r="AB231" s="8">
        <f>IF(Z231="DATA CONFLICT - VERIFY","P1 - DATA CONFLICT",IF(Z231="SERVICE / STOCKOUT REVIEW","P1 - SERVICE",IF(Z231="OVERSTOCK REVIEW","P2 - OVERSTOCK",IF(Z231="REPLENISHMENT REVIEW","P2 - REPLENISH","P3 - MONITOR"))))</f>
        <v/>
      </c>
      <c r="AC231" s="10" t="n">
        <v>1977.484576271186</v>
      </c>
      <c r="AD231" s="10" t="n">
        <v>1878.610347457627</v>
      </c>
      <c r="AE231" s="10">
        <f>IF(OR(AD231="",H231=""),"",H231*AD231)</f>
        <v/>
      </c>
    </row>
    <row r="232">
      <c r="A232" s="13" t="inlineStr">
        <is>
          <t>2022-12-31</t>
        </is>
      </c>
      <c r="B232" s="13" t="n">
        <v>2284</v>
      </c>
      <c r="C232" s="14" t="inlineStr">
        <is>
          <t>VietMotion RS-17</t>
        </is>
      </c>
      <c r="D232" s="14" t="inlineStr">
        <is>
          <t>Outdoor</t>
        </is>
      </c>
      <c r="E232" s="13" t="inlineStr">
        <is>
          <t>Premium</t>
        </is>
      </c>
      <c r="F232" s="13" t="inlineStr">
        <is>
          <t>S</t>
        </is>
      </c>
      <c r="G232" s="13" t="inlineStr">
        <is>
          <t>white</t>
        </is>
      </c>
      <c r="H232" s="15" t="n">
        <v>419</v>
      </c>
      <c r="I232" s="15" t="n">
        <v>11</v>
      </c>
      <c r="J232" s="16" t="n">
        <v>9.333333333333334</v>
      </c>
      <c r="K232" s="16">
        <f>IFERROR(J232/30,0)</f>
        <v/>
      </c>
      <c r="L232" s="15" t="n">
        <v>2</v>
      </c>
      <c r="M232" s="17" t="n">
        <v>0.9333</v>
      </c>
      <c r="N232" s="15" t="n">
        <v>1</v>
      </c>
      <c r="O232" s="15" t="n">
        <v>1</v>
      </c>
      <c r="P232" s="15" t="n">
        <v>0</v>
      </c>
      <c r="Q232" s="12" t="n">
        <v>0</v>
      </c>
      <c r="R232" s="12" t="n">
        <v>0</v>
      </c>
      <c r="S232" s="15">
        <f>H232+Q232-R232</f>
        <v/>
      </c>
      <c r="T232" s="12" t="n">
        <v>14</v>
      </c>
      <c r="U232" s="12" t="n">
        <v>7</v>
      </c>
      <c r="V232" s="12" t="n">
        <v>7</v>
      </c>
      <c r="W232" s="16">
        <f>K232*(T232+U232)</f>
        <v/>
      </c>
      <c r="X232" s="16">
        <f>K232*(T232+U232+V232)</f>
        <v/>
      </c>
      <c r="Y232" s="16">
        <f>IF(K232&gt;0,H232/K232,99999)</f>
        <v/>
      </c>
      <c r="Z232" s="14">
        <f>IF(AND(OR(L232&gt;=1,M232&lt;0.95),Y232&gt;120),"DATA CONFLICT - VERIFY",IF(OR(L232&gt;=1,M232&lt;0.95,Y232&lt;=14),"SERVICE / STOCKOUT REVIEW",IF(Y232&gt;120,"OVERSTOCK REVIEW",IF(S232&lt;=W232,"REPLENISHMENT REVIEW","NORMAL MONITORING"))))</f>
        <v/>
      </c>
      <c r="AA232" s="15">
        <f>IF(OR(Z232="DATA CONFLICT - VERIFY",Z232="SERVICE / STOCKOUT REVIEW"),0,IF(S232&lt;=W232,MAX(0,ROUNDUP(X232-S232,0)),0))</f>
        <v/>
      </c>
      <c r="AB232" s="14">
        <f>IF(Z232="DATA CONFLICT - VERIFY","P1 - DATA CONFLICT",IF(Z232="SERVICE / STOCKOUT REVIEW","P1 - SERVICE",IF(Z232="OVERSTOCK REVIEW","P2 - OVERSTOCK",IF(Z232="REPLENISHMENT REVIEW","P2 - REPLENISH","P3 - MONITOR"))))</f>
        <v/>
      </c>
      <c r="AC232" s="16" t="n">
        <v>3915.939241350563</v>
      </c>
      <c r="AD232" s="16" t="n">
        <v>2108.341687543143</v>
      </c>
      <c r="AE232" s="16">
        <f>IF(OR(AD232="",H232=""),"",H232*AD232)</f>
        <v/>
      </c>
    </row>
    <row r="233">
      <c r="A233" s="7" t="inlineStr">
        <is>
          <t>2022-12-31</t>
        </is>
      </c>
      <c r="B233" s="7" t="n">
        <v>74</v>
      </c>
      <c r="C233" s="8" t="inlineStr">
        <is>
          <t>DragonWear UM-01</t>
        </is>
      </c>
      <c r="D233" s="8" t="inlineStr">
        <is>
          <t>Streetwear</t>
        </is>
      </c>
      <c r="E233" s="7" t="inlineStr">
        <is>
          <t>Balanced</t>
        </is>
      </c>
      <c r="F233" s="7" t="inlineStr">
        <is>
          <t>L</t>
        </is>
      </c>
      <c r="G233" s="7" t="inlineStr">
        <is>
          <t>white</t>
        </is>
      </c>
      <c r="H233" s="9" t="n">
        <v>11</v>
      </c>
      <c r="I233" s="9" t="n">
        <v>5</v>
      </c>
      <c r="J233" s="10" t="n">
        <v>4.666666666666667</v>
      </c>
      <c r="K233" s="10">
        <f>IFERROR(J233/30,0)</f>
        <v/>
      </c>
      <c r="L233" s="9" t="n">
        <v>2</v>
      </c>
      <c r="M233" s="11" t="n">
        <v>0.9333</v>
      </c>
      <c r="N233" s="9" t="n">
        <v>1</v>
      </c>
      <c r="O233" s="9" t="n">
        <v>0</v>
      </c>
      <c r="P233" s="9" t="n">
        <v>0</v>
      </c>
      <c r="Q233" s="12" t="n">
        <v>0</v>
      </c>
      <c r="R233" s="12" t="n">
        <v>0</v>
      </c>
      <c r="S233" s="9">
        <f>H233+Q233-R233</f>
        <v/>
      </c>
      <c r="T233" s="12" t="n">
        <v>14</v>
      </c>
      <c r="U233" s="12" t="n">
        <v>7</v>
      </c>
      <c r="V233" s="12" t="n">
        <v>7</v>
      </c>
      <c r="W233" s="10">
        <f>K233*(T233+U233)</f>
        <v/>
      </c>
      <c r="X233" s="10">
        <f>K233*(T233+U233+V233)</f>
        <v/>
      </c>
      <c r="Y233" s="10">
        <f>IF(K233&gt;0,H233/K233,99999)</f>
        <v/>
      </c>
      <c r="Z233" s="8">
        <f>IF(AND(OR(L233&gt;=1,M233&lt;0.95),Y233&gt;120),"DATA CONFLICT - VERIFY",IF(OR(L233&gt;=1,M233&lt;0.95,Y233&lt;=14),"SERVICE / STOCKOUT REVIEW",IF(Y233&gt;120,"OVERSTOCK REVIEW",IF(S233&lt;=W233,"REPLENISHMENT REVIEW","NORMAL MONITORING"))))</f>
        <v/>
      </c>
      <c r="AA233" s="9">
        <f>IF(OR(Z233="DATA CONFLICT - VERIFY",Z233="SERVICE / STOCKOUT REVIEW"),0,IF(S233&lt;=W233,MAX(0,ROUNDUP(X233-S233,0)),0))</f>
        <v/>
      </c>
      <c r="AB233" s="8">
        <f>IF(Z233="DATA CONFLICT - VERIFY","P1 - DATA CONFLICT",IF(Z233="SERVICE / STOCKOUT REVIEW","P1 - SERVICE",IF(Z233="OVERSTOCK REVIEW","P2 - OVERSTOCK",IF(Z233="REPLENISHMENT REVIEW","P2 - REPLENISH","P3 - MONITOR"))))</f>
        <v/>
      </c>
      <c r="AC233" s="10" t="n">
        <v>13273.37704918033</v>
      </c>
      <c r="AD233" s="10" t="n">
        <v>8752.464826229509</v>
      </c>
      <c r="AE233" s="10">
        <f>IF(OR(AD233="",H233=""),"",H233*AD233)</f>
        <v/>
      </c>
    </row>
    <row r="234">
      <c r="A234" s="13" t="inlineStr">
        <is>
          <t>2022-12-31</t>
        </is>
      </c>
      <c r="B234" s="13" t="n">
        <v>106</v>
      </c>
      <c r="C234" s="14" t="inlineStr">
        <is>
          <t>DragonWear UM-33</t>
        </is>
      </c>
      <c r="D234" s="14" t="inlineStr">
        <is>
          <t>Streetwear</t>
        </is>
      </c>
      <c r="E234" s="13" t="inlineStr">
        <is>
          <t>Balanced</t>
        </is>
      </c>
      <c r="F234" s="13" t="inlineStr">
        <is>
          <t>L</t>
        </is>
      </c>
      <c r="G234" s="13" t="inlineStr">
        <is>
          <t>green</t>
        </is>
      </c>
      <c r="H234" s="15" t="n">
        <v>30</v>
      </c>
      <c r="I234" s="15" t="n">
        <v>5</v>
      </c>
      <c r="J234" s="16" t="n">
        <v>5</v>
      </c>
      <c r="K234" s="16">
        <f>IFERROR(J234/30,0)</f>
        <v/>
      </c>
      <c r="L234" s="15" t="n">
        <v>1</v>
      </c>
      <c r="M234" s="17" t="n">
        <v>0.9667</v>
      </c>
      <c r="N234" s="15" t="n">
        <v>1</v>
      </c>
      <c r="O234" s="15" t="n">
        <v>1</v>
      </c>
      <c r="P234" s="15" t="n">
        <v>0</v>
      </c>
      <c r="Q234" s="12" t="n">
        <v>0</v>
      </c>
      <c r="R234" s="12" t="n">
        <v>0</v>
      </c>
      <c r="S234" s="15">
        <f>H234+Q234-R234</f>
        <v/>
      </c>
      <c r="T234" s="12" t="n">
        <v>14</v>
      </c>
      <c r="U234" s="12" t="n">
        <v>7</v>
      </c>
      <c r="V234" s="12" t="n">
        <v>7</v>
      </c>
      <c r="W234" s="16">
        <f>K234*(T234+U234)</f>
        <v/>
      </c>
      <c r="X234" s="16">
        <f>K234*(T234+U234+V234)</f>
        <v/>
      </c>
      <c r="Y234" s="16">
        <f>IF(K234&gt;0,H234/K234,99999)</f>
        <v/>
      </c>
      <c r="Z234" s="14">
        <f>IF(AND(OR(L234&gt;=1,M234&lt;0.95),Y234&gt;120),"DATA CONFLICT - VERIFY",IF(OR(L234&gt;=1,M234&lt;0.95,Y234&lt;=14),"SERVICE / STOCKOUT REVIEW",IF(Y234&gt;120,"OVERSTOCK REVIEW",IF(S234&lt;=W234,"REPLENISHMENT REVIEW","NORMAL MONITORING"))))</f>
        <v/>
      </c>
      <c r="AA234" s="15">
        <f>IF(OR(Z234="DATA CONFLICT - VERIFY",Z234="SERVICE / STOCKOUT REVIEW"),0,IF(S234&lt;=W234,MAX(0,ROUNDUP(X234-S234,0)),0))</f>
        <v/>
      </c>
      <c r="AB234" s="14">
        <f>IF(Z234="DATA CONFLICT - VERIFY","P1 - DATA CONFLICT",IF(Z234="SERVICE / STOCKOUT REVIEW","P1 - SERVICE",IF(Z234="OVERSTOCK REVIEW","P2 - OVERSTOCK",IF(Z234="REPLENISHMENT REVIEW","P2 - REPLENISH","P3 - MONITOR"))))</f>
        <v/>
      </c>
      <c r="AC234" s="16" t="n">
        <v>11626.29031914894</v>
      </c>
      <c r="AD234" s="16" t="n">
        <v>11044.97580319149</v>
      </c>
      <c r="AE234" s="16">
        <f>IF(OR(AD234="",H234=""),"",H234*AD234)</f>
        <v/>
      </c>
    </row>
    <row r="235">
      <c r="A235" s="7" t="inlineStr">
        <is>
          <t>2022-12-31</t>
        </is>
      </c>
      <c r="B235" s="7" t="n">
        <v>107</v>
      </c>
      <c r="C235" s="8" t="inlineStr">
        <is>
          <t>DragonWear UM-34</t>
        </is>
      </c>
      <c r="D235" s="8" t="inlineStr">
        <is>
          <t>Streetwear</t>
        </is>
      </c>
      <c r="E235" s="7" t="inlineStr">
        <is>
          <t>Balanced</t>
        </is>
      </c>
      <c r="F235" s="7" t="inlineStr">
        <is>
          <t>XL</t>
        </is>
      </c>
      <c r="G235" s="7" t="inlineStr">
        <is>
          <t>silver</t>
        </is>
      </c>
      <c r="H235" s="9" t="n">
        <v>53</v>
      </c>
      <c r="I235" s="9" t="n">
        <v>1</v>
      </c>
      <c r="J235" s="10" t="n">
        <v>1.333333333333333</v>
      </c>
      <c r="K235" s="10">
        <f>IFERROR(J235/30,0)</f>
        <v/>
      </c>
      <c r="L235" s="9" t="n">
        <v>2</v>
      </c>
      <c r="M235" s="11" t="n">
        <v>0.9333</v>
      </c>
      <c r="N235" s="9" t="n">
        <v>1</v>
      </c>
      <c r="O235" s="9" t="n">
        <v>1</v>
      </c>
      <c r="P235" s="9" t="n">
        <v>0</v>
      </c>
      <c r="Q235" s="12" t="n">
        <v>0</v>
      </c>
      <c r="R235" s="12" t="n">
        <v>0</v>
      </c>
      <c r="S235" s="9">
        <f>H235+Q235-R235</f>
        <v/>
      </c>
      <c r="T235" s="12" t="n">
        <v>14</v>
      </c>
      <c r="U235" s="12" t="n">
        <v>7</v>
      </c>
      <c r="V235" s="12" t="n">
        <v>7</v>
      </c>
      <c r="W235" s="10">
        <f>K235*(T235+U235)</f>
        <v/>
      </c>
      <c r="X235" s="10">
        <f>K235*(T235+U235+V235)</f>
        <v/>
      </c>
      <c r="Y235" s="10">
        <f>IF(K235&gt;0,H235/K235,99999)</f>
        <v/>
      </c>
      <c r="Z235" s="8">
        <f>IF(AND(OR(L235&gt;=1,M235&lt;0.95),Y235&gt;120),"DATA CONFLICT - VERIFY",IF(OR(L235&gt;=1,M235&lt;0.95,Y235&lt;=14),"SERVICE / STOCKOUT REVIEW",IF(Y235&gt;120,"OVERSTOCK REVIEW",IF(S235&lt;=W235,"REPLENISHMENT REVIEW","NORMAL MONITORING"))))</f>
        <v/>
      </c>
      <c r="AA235" s="9">
        <f>IF(OR(Z235="DATA CONFLICT - VERIFY",Z235="SERVICE / STOCKOUT REVIEW"),0,IF(S235&lt;=W235,MAX(0,ROUNDUP(X235-S235,0)),0))</f>
        <v/>
      </c>
      <c r="AB235" s="8">
        <f>IF(Z235="DATA CONFLICT - VERIFY","P1 - DATA CONFLICT",IF(Z235="SERVICE / STOCKOUT REVIEW","P1 - SERVICE",IF(Z235="OVERSTOCK REVIEW","P2 - OVERSTOCK",IF(Z235="REPLENISHMENT REVIEW","P2 - REPLENISH","P3 - MONITOR"))))</f>
        <v/>
      </c>
      <c r="AC235" s="10" t="n">
        <v>6788.18593220339</v>
      </c>
      <c r="AD235" s="10" t="n">
        <v>4684.52711181356</v>
      </c>
      <c r="AE235" s="10">
        <f>IF(OR(AD235="",H235=""),"",H235*AD235)</f>
        <v/>
      </c>
    </row>
    <row r="236">
      <c r="A236" s="13" t="inlineStr">
        <is>
          <t>2022-12-31</t>
        </is>
      </c>
      <c r="B236" s="13" t="n">
        <v>109</v>
      </c>
      <c r="C236" s="14" t="inlineStr">
        <is>
          <t>DragonWear UM-36</t>
        </is>
      </c>
      <c r="D236" s="14" t="inlineStr">
        <is>
          <t>Streetwear</t>
        </is>
      </c>
      <c r="E236" s="13" t="inlineStr">
        <is>
          <t>Balanced</t>
        </is>
      </c>
      <c r="F236" s="13" t="inlineStr">
        <is>
          <t>M</t>
        </is>
      </c>
      <c r="G236" s="13" t="inlineStr">
        <is>
          <t>yellow</t>
        </is>
      </c>
      <c r="H236" s="15" t="n">
        <v>48</v>
      </c>
      <c r="I236" s="15" t="n">
        <v>10</v>
      </c>
      <c r="J236" s="16" t="n">
        <v>7.666666666666667</v>
      </c>
      <c r="K236" s="16">
        <f>IFERROR(J236/30,0)</f>
        <v/>
      </c>
      <c r="L236" s="15" t="n">
        <v>2</v>
      </c>
      <c r="M236" s="17" t="n">
        <v>0.9333</v>
      </c>
      <c r="N236" s="15" t="n">
        <v>1</v>
      </c>
      <c r="O236" s="15" t="n">
        <v>1</v>
      </c>
      <c r="P236" s="15" t="n">
        <v>0</v>
      </c>
      <c r="Q236" s="12" t="n">
        <v>0</v>
      </c>
      <c r="R236" s="12" t="n">
        <v>0</v>
      </c>
      <c r="S236" s="15">
        <f>H236+Q236-R236</f>
        <v/>
      </c>
      <c r="T236" s="12" t="n">
        <v>14</v>
      </c>
      <c r="U236" s="12" t="n">
        <v>7</v>
      </c>
      <c r="V236" s="12" t="n">
        <v>7</v>
      </c>
      <c r="W236" s="16">
        <f>K236*(T236+U236)</f>
        <v/>
      </c>
      <c r="X236" s="16">
        <f>K236*(T236+U236+V236)</f>
        <v/>
      </c>
      <c r="Y236" s="16">
        <f>IF(K236&gt;0,H236/K236,99999)</f>
        <v/>
      </c>
      <c r="Z236" s="14">
        <f>IF(AND(OR(L236&gt;=1,M236&lt;0.95),Y236&gt;120),"DATA CONFLICT - VERIFY",IF(OR(L236&gt;=1,M236&lt;0.95,Y236&lt;=14),"SERVICE / STOCKOUT REVIEW",IF(Y236&gt;120,"OVERSTOCK REVIEW",IF(S236&lt;=W236,"REPLENISHMENT REVIEW","NORMAL MONITORING"))))</f>
        <v/>
      </c>
      <c r="AA236" s="15">
        <f>IF(OR(Z236="DATA CONFLICT - VERIFY",Z236="SERVICE / STOCKOUT REVIEW"),0,IF(S236&lt;=W236,MAX(0,ROUNDUP(X236-S236,0)),0))</f>
        <v/>
      </c>
      <c r="AB236" s="14">
        <f>IF(Z236="DATA CONFLICT - VERIFY","P1 - DATA CONFLICT",IF(Z236="SERVICE / STOCKOUT REVIEW","P1 - SERVICE",IF(Z236="OVERSTOCK REVIEW","P2 - OVERSTOCK",IF(Z236="REPLENISHMENT REVIEW","P2 - REPLENISH","P3 - MONITOR"))))</f>
        <v/>
      </c>
      <c r="AC236" s="16" t="n">
        <v>14767.07700650759</v>
      </c>
      <c r="AD236" s="16" t="n">
        <v>14028.72315618221</v>
      </c>
      <c r="AE236" s="16">
        <f>IF(OR(AD236="",H236=""),"",H236*AD236)</f>
        <v/>
      </c>
    </row>
    <row r="237">
      <c r="A237" s="7" t="inlineStr">
        <is>
          <t>2022-12-31</t>
        </is>
      </c>
      <c r="B237" s="7" t="n">
        <v>115</v>
      </c>
      <c r="C237" s="8" t="inlineStr">
        <is>
          <t>DragonWear UM-42</t>
        </is>
      </c>
      <c r="D237" s="8" t="inlineStr">
        <is>
          <t>Streetwear</t>
        </is>
      </c>
      <c r="E237" s="7" t="inlineStr">
        <is>
          <t>Balanced</t>
        </is>
      </c>
      <c r="F237" s="7" t="inlineStr">
        <is>
          <t>XL</t>
        </is>
      </c>
      <c r="G237" s="7" t="inlineStr">
        <is>
          <t>purple</t>
        </is>
      </c>
      <c r="H237" s="9" t="n">
        <v>284</v>
      </c>
      <c r="I237" s="9" t="n">
        <v>5</v>
      </c>
      <c r="J237" s="10" t="n">
        <v>5.333333333333333</v>
      </c>
      <c r="K237" s="10">
        <f>IFERROR(J237/30,0)</f>
        <v/>
      </c>
      <c r="L237" s="9" t="n">
        <v>1</v>
      </c>
      <c r="M237" s="11" t="n">
        <v>0.9667</v>
      </c>
      <c r="N237" s="9" t="n">
        <v>1</v>
      </c>
      <c r="O237" s="9" t="n">
        <v>1</v>
      </c>
      <c r="P237" s="9" t="n">
        <v>0</v>
      </c>
      <c r="Q237" s="12" t="n">
        <v>0</v>
      </c>
      <c r="R237" s="12" t="n">
        <v>0</v>
      </c>
      <c r="S237" s="9">
        <f>H237+Q237-R237</f>
        <v/>
      </c>
      <c r="T237" s="12" t="n">
        <v>14</v>
      </c>
      <c r="U237" s="12" t="n">
        <v>7</v>
      </c>
      <c r="V237" s="12" t="n">
        <v>7</v>
      </c>
      <c r="W237" s="10">
        <f>K237*(T237+U237)</f>
        <v/>
      </c>
      <c r="X237" s="10">
        <f>K237*(T237+U237+V237)</f>
        <v/>
      </c>
      <c r="Y237" s="10">
        <f>IF(K237&gt;0,H237/K237,99999)</f>
        <v/>
      </c>
      <c r="Z237" s="8">
        <f>IF(AND(OR(L237&gt;=1,M237&lt;0.95),Y237&gt;120),"DATA CONFLICT - VERIFY",IF(OR(L237&gt;=1,M237&lt;0.95,Y237&lt;=14),"SERVICE / STOCKOUT REVIEW",IF(Y237&gt;120,"OVERSTOCK REVIEW",IF(S237&lt;=W237,"REPLENISHMENT REVIEW","NORMAL MONITORING"))))</f>
        <v/>
      </c>
      <c r="AA237" s="9">
        <f>IF(OR(Z237="DATA CONFLICT - VERIFY",Z237="SERVICE / STOCKOUT REVIEW"),0,IF(S237&lt;=W237,MAX(0,ROUNDUP(X237-S237,0)),0))</f>
        <v/>
      </c>
      <c r="AB237" s="8">
        <f>IF(Z237="DATA CONFLICT - VERIFY","P1 - DATA CONFLICT",IF(Z237="SERVICE / STOCKOUT REVIEW","P1 - SERVICE",IF(Z237="OVERSTOCK REVIEW","P2 - OVERSTOCK",IF(Z237="REPLENISHMENT REVIEW","P2 - REPLENISH","P3 - MONITOR"))))</f>
        <v/>
      </c>
      <c r="AC237" s="10" t="n">
        <v>10818.74520802377</v>
      </c>
      <c r="AD237" s="10" t="n">
        <v>9215.40716819465</v>
      </c>
      <c r="AE237" s="10">
        <f>IF(OR(AD237="",H237=""),"",H237*AD237)</f>
        <v/>
      </c>
    </row>
    <row r="238">
      <c r="A238" s="13" t="inlineStr">
        <is>
          <t>2022-12-31</t>
        </is>
      </c>
      <c r="B238" s="13" t="n">
        <v>150</v>
      </c>
      <c r="C238" s="14" t="inlineStr">
        <is>
          <t>DragonWear UR-21</t>
        </is>
      </c>
      <c r="D238" s="14" t="inlineStr">
        <is>
          <t>Streetwear</t>
        </is>
      </c>
      <c r="E238" s="13" t="inlineStr">
        <is>
          <t>Standard</t>
        </is>
      </c>
      <c r="F238" s="13" t="inlineStr">
        <is>
          <t>L</t>
        </is>
      </c>
      <c r="G238" s="13" t="inlineStr">
        <is>
          <t>red</t>
        </is>
      </c>
      <c r="H238" s="15" t="n">
        <v>11</v>
      </c>
      <c r="I238" s="15" t="n">
        <v>4</v>
      </c>
      <c r="J238" s="16" t="n">
        <v>2.333333333333333</v>
      </c>
      <c r="K238" s="16">
        <f>IFERROR(J238/30,0)</f>
        <v/>
      </c>
      <c r="L238" s="15" t="n">
        <v>1</v>
      </c>
      <c r="M238" s="17" t="n">
        <v>0.9667</v>
      </c>
      <c r="N238" s="15" t="n">
        <v>1</v>
      </c>
      <c r="O238" s="15" t="n">
        <v>0</v>
      </c>
      <c r="P238" s="15" t="n">
        <v>0</v>
      </c>
      <c r="Q238" s="12" t="n">
        <v>0</v>
      </c>
      <c r="R238" s="12" t="n">
        <v>0</v>
      </c>
      <c r="S238" s="15">
        <f>H238+Q238-R238</f>
        <v/>
      </c>
      <c r="T238" s="12" t="n">
        <v>14</v>
      </c>
      <c r="U238" s="12" t="n">
        <v>7</v>
      </c>
      <c r="V238" s="12" t="n">
        <v>7</v>
      </c>
      <c r="W238" s="16">
        <f>K238*(T238+U238)</f>
        <v/>
      </c>
      <c r="X238" s="16">
        <f>K238*(T238+U238+V238)</f>
        <v/>
      </c>
      <c r="Y238" s="16">
        <f>IF(K238&gt;0,H238/K238,99999)</f>
        <v/>
      </c>
      <c r="Z238" s="14">
        <f>IF(AND(OR(L238&gt;=1,M238&lt;0.95),Y238&gt;120),"DATA CONFLICT - VERIFY",IF(OR(L238&gt;=1,M238&lt;0.95,Y238&lt;=14),"SERVICE / STOCKOUT REVIEW",IF(Y238&gt;120,"OVERSTOCK REVIEW",IF(S238&lt;=W238,"REPLENISHMENT REVIEW","NORMAL MONITORING"))))</f>
        <v/>
      </c>
      <c r="AA238" s="15">
        <f>IF(OR(Z238="DATA CONFLICT - VERIFY",Z238="SERVICE / STOCKOUT REVIEW"),0,IF(S238&lt;=W238,MAX(0,ROUNDUP(X238-S238,0)),0))</f>
        <v/>
      </c>
      <c r="AB238" s="14">
        <f>IF(Z238="DATA CONFLICT - VERIFY","P1 - DATA CONFLICT",IF(Z238="SERVICE / STOCKOUT REVIEW","P1 - SERVICE",IF(Z238="OVERSTOCK REVIEW","P2 - OVERSTOCK",IF(Z238="REPLENISHMENT REVIEW","P2 - REPLENISH","P3 - MONITOR"))))</f>
        <v/>
      </c>
      <c r="AC238" s="16" t="n">
        <v>6524.253191489363</v>
      </c>
      <c r="AD238" s="16" t="n">
        <v>4447.583400638297</v>
      </c>
      <c r="AE238" s="16">
        <f>IF(OR(AD238="",H238=""),"",H238*AD238)</f>
        <v/>
      </c>
    </row>
    <row r="239">
      <c r="A239" s="7" t="inlineStr">
        <is>
          <t>2022-12-31</t>
        </is>
      </c>
      <c r="B239" s="7" t="n">
        <v>165</v>
      </c>
      <c r="C239" s="8" t="inlineStr">
        <is>
          <t>DragonWear UR-36</t>
        </is>
      </c>
      <c r="D239" s="8" t="inlineStr">
        <is>
          <t>Streetwear</t>
        </is>
      </c>
      <c r="E239" s="7" t="inlineStr">
        <is>
          <t>Standard</t>
        </is>
      </c>
      <c r="F239" s="7" t="inlineStr">
        <is>
          <t>M</t>
        </is>
      </c>
      <c r="G239" s="7" t="inlineStr">
        <is>
          <t>purple</t>
        </is>
      </c>
      <c r="H239" s="9" t="n">
        <v>21</v>
      </c>
      <c r="I239" s="9" t="n">
        <v>4</v>
      </c>
      <c r="J239" s="10" t="n">
        <v>2.333333333333333</v>
      </c>
      <c r="K239" s="10">
        <f>IFERROR(J239/30,0)</f>
        <v/>
      </c>
      <c r="L239" s="9" t="n">
        <v>0</v>
      </c>
      <c r="M239" s="11" t="n">
        <v>1</v>
      </c>
      <c r="N239" s="9" t="n">
        <v>0</v>
      </c>
      <c r="O239" s="9" t="n">
        <v>1</v>
      </c>
      <c r="P239" s="9" t="n">
        <v>0</v>
      </c>
      <c r="Q239" s="12" t="n">
        <v>0</v>
      </c>
      <c r="R239" s="12" t="n">
        <v>0</v>
      </c>
      <c r="S239" s="9">
        <f>H239+Q239-R239</f>
        <v/>
      </c>
      <c r="T239" s="12" t="n">
        <v>14</v>
      </c>
      <c r="U239" s="12" t="n">
        <v>7</v>
      </c>
      <c r="V239" s="12" t="n">
        <v>7</v>
      </c>
      <c r="W239" s="10">
        <f>K239*(T239+U239)</f>
        <v/>
      </c>
      <c r="X239" s="10">
        <f>K239*(T239+U239+V239)</f>
        <v/>
      </c>
      <c r="Y239" s="10">
        <f>IF(K239&gt;0,H239/K239,99999)</f>
        <v/>
      </c>
      <c r="Z239" s="8">
        <f>IF(AND(OR(L239&gt;=1,M239&lt;0.95),Y239&gt;120),"DATA CONFLICT - VERIFY",IF(OR(L239&gt;=1,M239&lt;0.95,Y239&lt;=14),"SERVICE / STOCKOUT REVIEW",IF(Y239&gt;120,"OVERSTOCK REVIEW",IF(S239&lt;=W239,"REPLENISHMENT REVIEW","NORMAL MONITORING"))))</f>
        <v/>
      </c>
      <c r="AA239" s="9">
        <f>IF(OR(Z239="DATA CONFLICT - VERIFY",Z239="SERVICE / STOCKOUT REVIEW"),0,IF(S239&lt;=W239,MAX(0,ROUNDUP(X239-S239,0)),0))</f>
        <v/>
      </c>
      <c r="AB239" s="8">
        <f>IF(Z239="DATA CONFLICT - VERIFY","P1 - DATA CONFLICT",IF(Z239="SERVICE / STOCKOUT REVIEW","P1 - SERVICE",IF(Z239="OVERSTOCK REVIEW","P2 - OVERSTOCK",IF(Z239="REPLENISHMENT REVIEW","P2 - REPLENISH","P3 - MONITOR"))))</f>
        <v/>
      </c>
      <c r="AC239" s="10" t="n">
        <v>8309.284615384617</v>
      </c>
      <c r="AD239" s="10" t="n">
        <v>7893.820384615386</v>
      </c>
      <c r="AE239" s="10">
        <f>IF(OR(AD239="",H239=""),"",H239*AD239)</f>
        <v/>
      </c>
    </row>
    <row r="240">
      <c r="A240" s="13" t="inlineStr">
        <is>
          <t>2022-12-31</t>
        </is>
      </c>
      <c r="B240" s="13" t="n">
        <v>173</v>
      </c>
      <c r="C240" s="14" t="inlineStr">
        <is>
          <t>DragonWear UE-01</t>
        </is>
      </c>
      <c r="D240" s="14" t="inlineStr">
        <is>
          <t>Streetwear</t>
        </is>
      </c>
      <c r="E240" s="13" t="inlineStr">
        <is>
          <t>Performance</t>
        </is>
      </c>
      <c r="F240" s="13" t="inlineStr">
        <is>
          <t>M</t>
        </is>
      </c>
      <c r="G240" s="13" t="inlineStr">
        <is>
          <t>blue</t>
        </is>
      </c>
      <c r="H240" s="15" t="n">
        <v>55</v>
      </c>
      <c r="I240" s="15" t="n">
        <v>17</v>
      </c>
      <c r="J240" s="16" t="n">
        <v>17</v>
      </c>
      <c r="K240" s="16">
        <f>IFERROR(J240/30,0)</f>
        <v/>
      </c>
      <c r="L240" s="15" t="n">
        <v>2</v>
      </c>
      <c r="M240" s="17" t="n">
        <v>0.9333</v>
      </c>
      <c r="N240" s="15" t="n">
        <v>1</v>
      </c>
      <c r="O240" s="15" t="n">
        <v>1</v>
      </c>
      <c r="P240" s="15" t="n">
        <v>0</v>
      </c>
      <c r="Q240" s="12" t="n">
        <v>0</v>
      </c>
      <c r="R240" s="12" t="n">
        <v>0</v>
      </c>
      <c r="S240" s="15">
        <f>H240+Q240-R240</f>
        <v/>
      </c>
      <c r="T240" s="12" t="n">
        <v>14</v>
      </c>
      <c r="U240" s="12" t="n">
        <v>7</v>
      </c>
      <c r="V240" s="12" t="n">
        <v>7</v>
      </c>
      <c r="W240" s="16">
        <f>K240*(T240+U240)</f>
        <v/>
      </c>
      <c r="X240" s="16">
        <f>K240*(T240+U240+V240)</f>
        <v/>
      </c>
      <c r="Y240" s="16">
        <f>IF(K240&gt;0,H240/K240,99999)</f>
        <v/>
      </c>
      <c r="Z240" s="14">
        <f>IF(AND(OR(L240&gt;=1,M240&lt;0.95),Y240&gt;120),"DATA CONFLICT - VERIFY",IF(OR(L240&gt;=1,M240&lt;0.95,Y240&lt;=14),"SERVICE / STOCKOUT REVIEW",IF(Y240&gt;120,"OVERSTOCK REVIEW",IF(S240&lt;=W240,"REPLENISHMENT REVIEW","NORMAL MONITORING"))))</f>
        <v/>
      </c>
      <c r="AA240" s="15">
        <f>IF(OR(Z240="DATA CONFLICT - VERIFY",Z240="SERVICE / STOCKOUT REVIEW"),0,IF(S240&lt;=W240,MAX(0,ROUNDUP(X240-S240,0)),0))</f>
        <v/>
      </c>
      <c r="AB240" s="14">
        <f>IF(Z240="DATA CONFLICT - VERIFY","P1 - DATA CONFLICT",IF(Z240="SERVICE / STOCKOUT REVIEW","P1 - SERVICE",IF(Z240="OVERSTOCK REVIEW","P2 - OVERSTOCK",IF(Z240="REPLENISHMENT REVIEW","P2 - REPLENISH","P3 - MONITOR"))))</f>
        <v/>
      </c>
      <c r="AC240" s="16" t="n">
        <v>12869.20065789474</v>
      </c>
      <c r="AD240" s="16" t="n">
        <v>10770.2340305921</v>
      </c>
      <c r="AE240" s="16">
        <f>IF(OR(AD240="",H240=""),"",H240*AD240)</f>
        <v/>
      </c>
    </row>
    <row r="241">
      <c r="A241" s="7" t="inlineStr">
        <is>
          <t>2022-12-31</t>
        </is>
      </c>
      <c r="B241" s="7" t="n">
        <v>180</v>
      </c>
      <c r="C241" s="8" t="inlineStr">
        <is>
          <t>DragonWear UE-08</t>
        </is>
      </c>
      <c r="D241" s="8" t="inlineStr">
        <is>
          <t>Streetwear</t>
        </is>
      </c>
      <c r="E241" s="7" t="inlineStr">
        <is>
          <t>Performance</t>
        </is>
      </c>
      <c r="F241" s="7" t="inlineStr">
        <is>
          <t>S</t>
        </is>
      </c>
      <c r="G241" s="7" t="inlineStr">
        <is>
          <t>red</t>
        </is>
      </c>
      <c r="H241" s="9" t="n">
        <v>19</v>
      </c>
      <c r="I241" s="9" t="n">
        <v>2</v>
      </c>
      <c r="J241" s="10" t="n">
        <v>2.666666666666667</v>
      </c>
      <c r="K241" s="10">
        <f>IFERROR(J241/30,0)</f>
        <v/>
      </c>
      <c r="L241" s="9" t="n">
        <v>1</v>
      </c>
      <c r="M241" s="11" t="n">
        <v>0.9667</v>
      </c>
      <c r="N241" s="9" t="n">
        <v>1</v>
      </c>
      <c r="O241" s="9" t="n">
        <v>1</v>
      </c>
      <c r="P241" s="9" t="n">
        <v>0</v>
      </c>
      <c r="Q241" s="12" t="n">
        <v>0</v>
      </c>
      <c r="R241" s="12" t="n">
        <v>0</v>
      </c>
      <c r="S241" s="9">
        <f>H241+Q241-R241</f>
        <v/>
      </c>
      <c r="T241" s="12" t="n">
        <v>14</v>
      </c>
      <c r="U241" s="12" t="n">
        <v>7</v>
      </c>
      <c r="V241" s="12" t="n">
        <v>7</v>
      </c>
      <c r="W241" s="10">
        <f>K241*(T241+U241)</f>
        <v/>
      </c>
      <c r="X241" s="10">
        <f>K241*(T241+U241+V241)</f>
        <v/>
      </c>
      <c r="Y241" s="10">
        <f>IF(K241&gt;0,H241/K241,99999)</f>
        <v/>
      </c>
      <c r="Z241" s="8">
        <f>IF(AND(OR(L241&gt;=1,M241&lt;0.95),Y241&gt;120),"DATA CONFLICT - VERIFY",IF(OR(L241&gt;=1,M241&lt;0.95,Y241&lt;=14),"SERVICE / STOCKOUT REVIEW",IF(Y241&gt;120,"OVERSTOCK REVIEW",IF(S241&lt;=W241,"REPLENISHMENT REVIEW","NORMAL MONITORING"))))</f>
        <v/>
      </c>
      <c r="AA241" s="9">
        <f>IF(OR(Z241="DATA CONFLICT - VERIFY",Z241="SERVICE / STOCKOUT REVIEW"),0,IF(S241&lt;=W241,MAX(0,ROUNDUP(X241-S241,0)),0))</f>
        <v/>
      </c>
      <c r="AB241" s="8">
        <f>IF(Z241="DATA CONFLICT - VERIFY","P1 - DATA CONFLICT",IF(Z241="SERVICE / STOCKOUT REVIEW","P1 - SERVICE",IF(Z241="OVERSTOCK REVIEW","P2 - OVERSTOCK",IF(Z241="REPLENISHMENT REVIEW","P2 - REPLENISH","P3 - MONITOR"))))</f>
        <v/>
      </c>
      <c r="AC241" s="10" t="n">
        <v>9746.469642857142</v>
      </c>
      <c r="AD241" s="10" t="n">
        <v>9106.126587321429</v>
      </c>
      <c r="AE241" s="10">
        <f>IF(OR(AD241="",H241=""),"",H241*AD241)</f>
        <v/>
      </c>
    </row>
    <row r="242">
      <c r="A242" s="13" t="inlineStr">
        <is>
          <t>2022-12-31</t>
        </is>
      </c>
      <c r="B242" s="13" t="n">
        <v>183</v>
      </c>
      <c r="C242" s="14" t="inlineStr">
        <is>
          <t>DragonWear UE-11</t>
        </is>
      </c>
      <c r="D242" s="14" t="inlineStr">
        <is>
          <t>Streetwear</t>
        </is>
      </c>
      <c r="E242" s="13" t="inlineStr">
        <is>
          <t>Performance</t>
        </is>
      </c>
      <c r="F242" s="13" t="inlineStr">
        <is>
          <t>XL</t>
        </is>
      </c>
      <c r="G242" s="13" t="inlineStr">
        <is>
          <t>blue</t>
        </is>
      </c>
      <c r="H242" s="15" t="n">
        <v>82</v>
      </c>
      <c r="I242" s="15" t="n">
        <v>8</v>
      </c>
      <c r="J242" s="16" t="n">
        <v>13</v>
      </c>
      <c r="K242" s="16">
        <f>IFERROR(J242/30,0)</f>
        <v/>
      </c>
      <c r="L242" s="15" t="n">
        <v>2</v>
      </c>
      <c r="M242" s="17" t="n">
        <v>0.9333</v>
      </c>
      <c r="N242" s="15" t="n">
        <v>1</v>
      </c>
      <c r="O242" s="15" t="n">
        <v>1</v>
      </c>
      <c r="P242" s="15" t="n">
        <v>0</v>
      </c>
      <c r="Q242" s="12" t="n">
        <v>0</v>
      </c>
      <c r="R242" s="12" t="n">
        <v>0</v>
      </c>
      <c r="S242" s="15">
        <f>H242+Q242-R242</f>
        <v/>
      </c>
      <c r="T242" s="12" t="n">
        <v>14</v>
      </c>
      <c r="U242" s="12" t="n">
        <v>7</v>
      </c>
      <c r="V242" s="12" t="n">
        <v>7</v>
      </c>
      <c r="W242" s="16">
        <f>K242*(T242+U242)</f>
        <v/>
      </c>
      <c r="X242" s="16">
        <f>K242*(T242+U242+V242)</f>
        <v/>
      </c>
      <c r="Y242" s="16">
        <f>IF(K242&gt;0,H242/K242,99999)</f>
        <v/>
      </c>
      <c r="Z242" s="14">
        <f>IF(AND(OR(L242&gt;=1,M242&lt;0.95),Y242&gt;120),"DATA CONFLICT - VERIFY",IF(OR(L242&gt;=1,M242&lt;0.95,Y242&lt;=14),"SERVICE / STOCKOUT REVIEW",IF(Y242&gt;120,"OVERSTOCK REVIEW",IF(S242&lt;=W242,"REPLENISHMENT REVIEW","NORMAL MONITORING"))))</f>
        <v/>
      </c>
      <c r="AA242" s="15">
        <f>IF(OR(Z242="DATA CONFLICT - VERIFY",Z242="SERVICE / STOCKOUT REVIEW"),0,IF(S242&lt;=W242,MAX(0,ROUNDUP(X242-S242,0)),0))</f>
        <v/>
      </c>
      <c r="AB242" s="14">
        <f>IF(Z242="DATA CONFLICT - VERIFY","P1 - DATA CONFLICT",IF(Z242="SERVICE / STOCKOUT REVIEW","P1 - SERVICE",IF(Z242="OVERSTOCK REVIEW","P2 - OVERSTOCK",IF(Z242="REPLENISHMENT REVIEW","P2 - REPLENISH","P3 - MONITOR"))))</f>
        <v/>
      </c>
      <c r="AC242" s="16" t="n">
        <v>9191.446033810143</v>
      </c>
      <c r="AD242" s="16" t="n">
        <v>8731.873732119637</v>
      </c>
      <c r="AE242" s="16">
        <f>IF(OR(AD242="",H242=""),"",H242*AD242)</f>
        <v/>
      </c>
    </row>
    <row r="243">
      <c r="A243" s="7" t="inlineStr">
        <is>
          <t>2022-12-31</t>
        </is>
      </c>
      <c r="B243" s="7" t="n">
        <v>200</v>
      </c>
      <c r="C243" s="8" t="inlineStr">
        <is>
          <t>IndigoViet UM-02</t>
        </is>
      </c>
      <c r="D243" s="8" t="inlineStr">
        <is>
          <t>Streetwear</t>
        </is>
      </c>
      <c r="E243" s="7" t="inlineStr">
        <is>
          <t>Balanced</t>
        </is>
      </c>
      <c r="F243" s="7" t="inlineStr">
        <is>
          <t>S</t>
        </is>
      </c>
      <c r="G243" s="7" t="inlineStr">
        <is>
          <t>red</t>
        </is>
      </c>
      <c r="H243" s="9" t="n">
        <v>49</v>
      </c>
      <c r="I243" s="9" t="n">
        <v>3</v>
      </c>
      <c r="J243" s="10" t="n">
        <v>5.333333333333333</v>
      </c>
      <c r="K243" s="10">
        <f>IFERROR(J243/30,0)</f>
        <v/>
      </c>
      <c r="L243" s="9" t="n">
        <v>1</v>
      </c>
      <c r="M243" s="11" t="n">
        <v>0.9667</v>
      </c>
      <c r="N243" s="9" t="n">
        <v>1</v>
      </c>
      <c r="O243" s="9" t="n">
        <v>1</v>
      </c>
      <c r="P243" s="9" t="n">
        <v>0</v>
      </c>
      <c r="Q243" s="12" t="n">
        <v>0</v>
      </c>
      <c r="R243" s="12" t="n">
        <v>0</v>
      </c>
      <c r="S243" s="9">
        <f>H243+Q243-R243</f>
        <v/>
      </c>
      <c r="T243" s="12" t="n">
        <v>14</v>
      </c>
      <c r="U243" s="12" t="n">
        <v>7</v>
      </c>
      <c r="V243" s="12" t="n">
        <v>7</v>
      </c>
      <c r="W243" s="10">
        <f>K243*(T243+U243)</f>
        <v/>
      </c>
      <c r="X243" s="10">
        <f>K243*(T243+U243+V243)</f>
        <v/>
      </c>
      <c r="Y243" s="10">
        <f>IF(K243&gt;0,H243/K243,99999)</f>
        <v/>
      </c>
      <c r="Z243" s="8">
        <f>IF(AND(OR(L243&gt;=1,M243&lt;0.95),Y243&gt;120),"DATA CONFLICT - VERIFY",IF(OR(L243&gt;=1,M243&lt;0.95,Y243&lt;=14),"SERVICE / STOCKOUT REVIEW",IF(Y243&gt;120,"OVERSTOCK REVIEW",IF(S243&lt;=W243,"REPLENISHMENT REVIEW","NORMAL MONITORING"))))</f>
        <v/>
      </c>
      <c r="AA243" s="9">
        <f>IF(OR(Z243="DATA CONFLICT - VERIFY",Z243="SERVICE / STOCKOUT REVIEW"),0,IF(S243&lt;=W243,MAX(0,ROUNDUP(X243-S243,0)),0))</f>
        <v/>
      </c>
      <c r="AB243" s="8">
        <f>IF(Z243="DATA CONFLICT - VERIFY","P1 - DATA CONFLICT",IF(Z243="SERVICE / STOCKOUT REVIEW","P1 - SERVICE",IF(Z243="OVERSTOCK REVIEW","P2 - OVERSTOCK",IF(Z243="REPLENISHMENT REVIEW","P2 - REPLENISH","P3 - MONITOR"))))</f>
        <v/>
      </c>
      <c r="AC243" s="10" t="n">
        <v>14491.70823529412</v>
      </c>
      <c r="AD243" s="10" t="n">
        <v>8826.899486117647</v>
      </c>
      <c r="AE243" s="10">
        <f>IF(OR(AD243="",H243=""),"",H243*AD243)</f>
        <v/>
      </c>
    </row>
    <row r="244">
      <c r="A244" s="13" t="inlineStr">
        <is>
          <t>2022-12-31</t>
        </is>
      </c>
      <c r="B244" s="13" t="n">
        <v>201</v>
      </c>
      <c r="C244" s="14" t="inlineStr">
        <is>
          <t>IndigoViet UM-03</t>
        </is>
      </c>
      <c r="D244" s="14" t="inlineStr">
        <is>
          <t>Streetwear</t>
        </is>
      </c>
      <c r="E244" s="13" t="inlineStr">
        <is>
          <t>Balanced</t>
        </is>
      </c>
      <c r="F244" s="13" t="inlineStr">
        <is>
          <t>M</t>
        </is>
      </c>
      <c r="G244" s="13" t="inlineStr">
        <is>
          <t>black</t>
        </is>
      </c>
      <c r="H244" s="15" t="n">
        <v>56</v>
      </c>
      <c r="I244" s="15" t="n">
        <v>2</v>
      </c>
      <c r="J244" s="16" t="n">
        <v>9</v>
      </c>
      <c r="K244" s="16">
        <f>IFERROR(J244/30,0)</f>
        <v/>
      </c>
      <c r="L244" s="15" t="n">
        <v>1</v>
      </c>
      <c r="M244" s="17" t="n">
        <v>0.9667</v>
      </c>
      <c r="N244" s="15" t="n">
        <v>1</v>
      </c>
      <c r="O244" s="15" t="n">
        <v>1</v>
      </c>
      <c r="P244" s="15" t="n">
        <v>0</v>
      </c>
      <c r="Q244" s="12" t="n">
        <v>0</v>
      </c>
      <c r="R244" s="12" t="n">
        <v>0</v>
      </c>
      <c r="S244" s="15">
        <f>H244+Q244-R244</f>
        <v/>
      </c>
      <c r="T244" s="12" t="n">
        <v>14</v>
      </c>
      <c r="U244" s="12" t="n">
        <v>7</v>
      </c>
      <c r="V244" s="12" t="n">
        <v>7</v>
      </c>
      <c r="W244" s="16">
        <f>K244*(T244+U244)</f>
        <v/>
      </c>
      <c r="X244" s="16">
        <f>K244*(T244+U244+V244)</f>
        <v/>
      </c>
      <c r="Y244" s="16">
        <f>IF(K244&gt;0,H244/K244,99999)</f>
        <v/>
      </c>
      <c r="Z244" s="14">
        <f>IF(AND(OR(L244&gt;=1,M244&lt;0.95),Y244&gt;120),"DATA CONFLICT - VERIFY",IF(OR(L244&gt;=1,M244&lt;0.95,Y244&lt;=14),"SERVICE / STOCKOUT REVIEW",IF(Y244&gt;120,"OVERSTOCK REVIEW",IF(S244&lt;=W244,"REPLENISHMENT REVIEW","NORMAL MONITORING"))))</f>
        <v/>
      </c>
      <c r="AA244" s="15">
        <f>IF(OR(Z244="DATA CONFLICT - VERIFY",Z244="SERVICE / STOCKOUT REVIEW"),0,IF(S244&lt;=W244,MAX(0,ROUNDUP(X244-S244,0)),0))</f>
        <v/>
      </c>
      <c r="AB244" s="14">
        <f>IF(Z244="DATA CONFLICT - VERIFY","P1 - DATA CONFLICT",IF(Z244="SERVICE / STOCKOUT REVIEW","P1 - SERVICE",IF(Z244="OVERSTOCK REVIEW","P2 - OVERSTOCK",IF(Z244="REPLENISHMENT REVIEW","P2 - REPLENISH","P3 - MONITOR"))))</f>
        <v/>
      </c>
      <c r="AC244" s="16" t="n">
        <v>18386.83451612903</v>
      </c>
      <c r="AD244" s="16" t="n">
        <v>15661.90564083871</v>
      </c>
      <c r="AE244" s="16">
        <f>IF(OR(AD244="",H244=""),"",H244*AD244)</f>
        <v/>
      </c>
    </row>
    <row r="245">
      <c r="A245" s="7" t="inlineStr">
        <is>
          <t>2022-12-31</t>
        </is>
      </c>
      <c r="B245" s="7" t="n">
        <v>202</v>
      </c>
      <c r="C245" s="8" t="inlineStr">
        <is>
          <t>IndigoViet UM-04</t>
        </is>
      </c>
      <c r="D245" s="8" t="inlineStr">
        <is>
          <t>Streetwear</t>
        </is>
      </c>
      <c r="E245" s="7" t="inlineStr">
        <is>
          <t>Balanced</t>
        </is>
      </c>
      <c r="F245" s="7" t="inlineStr">
        <is>
          <t>L</t>
        </is>
      </c>
      <c r="G245" s="7" t="inlineStr">
        <is>
          <t>orange</t>
        </is>
      </c>
      <c r="H245" s="9" t="n">
        <v>133</v>
      </c>
      <c r="I245" s="9" t="n">
        <v>7</v>
      </c>
      <c r="J245" s="10" t="n">
        <v>12</v>
      </c>
      <c r="K245" s="10">
        <f>IFERROR(J245/30,0)</f>
        <v/>
      </c>
      <c r="L245" s="9" t="n">
        <v>2</v>
      </c>
      <c r="M245" s="11" t="n">
        <v>0.9333</v>
      </c>
      <c r="N245" s="9" t="n">
        <v>1</v>
      </c>
      <c r="O245" s="9" t="n">
        <v>1</v>
      </c>
      <c r="P245" s="9" t="n">
        <v>0</v>
      </c>
      <c r="Q245" s="12" t="n">
        <v>0</v>
      </c>
      <c r="R245" s="12" t="n">
        <v>0</v>
      </c>
      <c r="S245" s="9">
        <f>H245+Q245-R245</f>
        <v/>
      </c>
      <c r="T245" s="12" t="n">
        <v>14</v>
      </c>
      <c r="U245" s="12" t="n">
        <v>7</v>
      </c>
      <c r="V245" s="12" t="n">
        <v>7</v>
      </c>
      <c r="W245" s="10">
        <f>K245*(T245+U245)</f>
        <v/>
      </c>
      <c r="X245" s="10">
        <f>K245*(T245+U245+V245)</f>
        <v/>
      </c>
      <c r="Y245" s="10">
        <f>IF(K245&gt;0,H245/K245,99999)</f>
        <v/>
      </c>
      <c r="Z245" s="8">
        <f>IF(AND(OR(L245&gt;=1,M245&lt;0.95),Y245&gt;120),"DATA CONFLICT - VERIFY",IF(OR(L245&gt;=1,M245&lt;0.95,Y245&lt;=14),"SERVICE / STOCKOUT REVIEW",IF(Y245&gt;120,"OVERSTOCK REVIEW",IF(S245&lt;=W245,"REPLENISHMENT REVIEW","NORMAL MONITORING"))))</f>
        <v/>
      </c>
      <c r="AA245" s="9">
        <f>IF(OR(Z245="DATA CONFLICT - VERIFY",Z245="SERVICE / STOCKOUT REVIEW"),0,IF(S245&lt;=W245,MAX(0,ROUNDUP(X245-S245,0)),0))</f>
        <v/>
      </c>
      <c r="AB245" s="8">
        <f>IF(Z245="DATA CONFLICT - VERIFY","P1 - DATA CONFLICT",IF(Z245="SERVICE / STOCKOUT REVIEW","P1 - SERVICE",IF(Z245="OVERSTOCK REVIEW","P2 - OVERSTOCK",IF(Z245="REPLENISHMENT REVIEW","P2 - REPLENISH","P3 - MONITOR"))))</f>
        <v/>
      </c>
      <c r="AC245" s="10" t="n">
        <v>16231.71508474576</v>
      </c>
      <c r="AD245" s="10" t="n">
        <v>15420.12933050847</v>
      </c>
      <c r="AE245" s="10">
        <f>IF(OR(AD245="",H245=""),"",H245*AD245)</f>
        <v/>
      </c>
    </row>
    <row r="246">
      <c r="A246" s="13" t="inlineStr">
        <is>
          <t>2022-12-31</t>
        </is>
      </c>
      <c r="B246" s="13" t="n">
        <v>204</v>
      </c>
      <c r="C246" s="14" t="inlineStr">
        <is>
          <t>IndigoViet UM-06</t>
        </is>
      </c>
      <c r="D246" s="14" t="inlineStr">
        <is>
          <t>Streetwear</t>
        </is>
      </c>
      <c r="E246" s="13" t="inlineStr">
        <is>
          <t>Balanced</t>
        </is>
      </c>
      <c r="F246" s="13" t="inlineStr">
        <is>
          <t>S</t>
        </is>
      </c>
      <c r="G246" s="13" t="inlineStr">
        <is>
          <t>white</t>
        </is>
      </c>
      <c r="H246" s="15" t="n">
        <v>24</v>
      </c>
      <c r="I246" s="15" t="n">
        <v>2</v>
      </c>
      <c r="J246" s="16" t="n">
        <v>2.333333333333333</v>
      </c>
      <c r="K246" s="16">
        <f>IFERROR(J246/30,0)</f>
        <v/>
      </c>
      <c r="L246" s="15" t="n">
        <v>0</v>
      </c>
      <c r="M246" s="17" t="n">
        <v>1</v>
      </c>
      <c r="N246" s="15" t="n">
        <v>0</v>
      </c>
      <c r="O246" s="15" t="n">
        <v>1</v>
      </c>
      <c r="P246" s="15" t="n">
        <v>0</v>
      </c>
      <c r="Q246" s="12" t="n">
        <v>0</v>
      </c>
      <c r="R246" s="12" t="n">
        <v>0</v>
      </c>
      <c r="S246" s="15">
        <f>H246+Q246-R246</f>
        <v/>
      </c>
      <c r="T246" s="12" t="n">
        <v>14</v>
      </c>
      <c r="U246" s="12" t="n">
        <v>7</v>
      </c>
      <c r="V246" s="12" t="n">
        <v>7</v>
      </c>
      <c r="W246" s="16">
        <f>K246*(T246+U246)</f>
        <v/>
      </c>
      <c r="X246" s="16">
        <f>K246*(T246+U246+V246)</f>
        <v/>
      </c>
      <c r="Y246" s="16">
        <f>IF(K246&gt;0,H246/K246,99999)</f>
        <v/>
      </c>
      <c r="Z246" s="14">
        <f>IF(AND(OR(L246&gt;=1,M246&lt;0.95),Y246&gt;120),"DATA CONFLICT - VERIFY",IF(OR(L246&gt;=1,M246&lt;0.95,Y246&lt;=14),"SERVICE / STOCKOUT REVIEW",IF(Y246&gt;120,"OVERSTOCK REVIEW",IF(S246&lt;=W246,"REPLENISHMENT REVIEW","NORMAL MONITORING"))))</f>
        <v/>
      </c>
      <c r="AA246" s="15">
        <f>IF(OR(Z246="DATA CONFLICT - VERIFY",Z246="SERVICE / STOCKOUT REVIEW"),0,IF(S246&lt;=W246,MAX(0,ROUNDUP(X246-S246,0)),0))</f>
        <v/>
      </c>
      <c r="AB246" s="14">
        <f>IF(Z246="DATA CONFLICT - VERIFY","P1 - DATA CONFLICT",IF(Z246="SERVICE / STOCKOUT REVIEW","P1 - SERVICE",IF(Z246="OVERSTOCK REVIEW","P2 - OVERSTOCK",IF(Z246="REPLENISHMENT REVIEW","P2 - REPLENISH","P3 - MONITOR"))))</f>
        <v/>
      </c>
      <c r="AC246" s="16" t="n">
        <v>10730.28507352941</v>
      </c>
      <c r="AD246" s="16" t="n">
        <v>6927.472043470589</v>
      </c>
      <c r="AE246" s="16">
        <f>IF(OR(AD246="",H246=""),"",H246*AD246)</f>
        <v/>
      </c>
    </row>
    <row r="247">
      <c r="A247" s="7" t="inlineStr">
        <is>
          <t>2022-12-31</t>
        </is>
      </c>
      <c r="B247" s="7" t="n">
        <v>205</v>
      </c>
      <c r="C247" s="8" t="inlineStr">
        <is>
          <t>IndigoViet UM-07</t>
        </is>
      </c>
      <c r="D247" s="8" t="inlineStr">
        <is>
          <t>Streetwear</t>
        </is>
      </c>
      <c r="E247" s="7" t="inlineStr">
        <is>
          <t>Balanced</t>
        </is>
      </c>
      <c r="F247" s="7" t="inlineStr">
        <is>
          <t>M</t>
        </is>
      </c>
      <c r="G247" s="7" t="inlineStr">
        <is>
          <t>purple</t>
        </is>
      </c>
      <c r="H247" s="9" t="n">
        <v>3</v>
      </c>
      <c r="I247" s="9" t="n">
        <v>1</v>
      </c>
      <c r="J247" s="10" t="n">
        <v>1</v>
      </c>
      <c r="K247" s="10">
        <f>IFERROR(J247/30,0)</f>
        <v/>
      </c>
      <c r="L247" s="9" t="n">
        <v>2</v>
      </c>
      <c r="M247" s="11" t="n">
        <v>0.9333</v>
      </c>
      <c r="N247" s="9" t="n">
        <v>1</v>
      </c>
      <c r="O247" s="9" t="n">
        <v>0</v>
      </c>
      <c r="P247" s="9" t="n">
        <v>0</v>
      </c>
      <c r="Q247" s="12" t="n">
        <v>0</v>
      </c>
      <c r="R247" s="12" t="n">
        <v>0</v>
      </c>
      <c r="S247" s="9">
        <f>H247+Q247-R247</f>
        <v/>
      </c>
      <c r="T247" s="12" t="n">
        <v>14</v>
      </c>
      <c r="U247" s="12" t="n">
        <v>7</v>
      </c>
      <c r="V247" s="12" t="n">
        <v>7</v>
      </c>
      <c r="W247" s="10">
        <f>K247*(T247+U247)</f>
        <v/>
      </c>
      <c r="X247" s="10">
        <f>K247*(T247+U247+V247)</f>
        <v/>
      </c>
      <c r="Y247" s="10">
        <f>IF(K247&gt;0,H247/K247,99999)</f>
        <v/>
      </c>
      <c r="Z247" s="8">
        <f>IF(AND(OR(L247&gt;=1,M247&lt;0.95),Y247&gt;120),"DATA CONFLICT - VERIFY",IF(OR(L247&gt;=1,M247&lt;0.95,Y247&lt;=14),"SERVICE / STOCKOUT REVIEW",IF(Y247&gt;120,"OVERSTOCK REVIEW",IF(S247&lt;=W247,"REPLENISHMENT REVIEW","NORMAL MONITORING"))))</f>
        <v/>
      </c>
      <c r="AA247" s="9">
        <f>IF(OR(Z247="DATA CONFLICT - VERIFY",Z247="SERVICE / STOCKOUT REVIEW"),0,IF(S247&lt;=W247,MAX(0,ROUNDUP(X247-S247,0)),0))</f>
        <v/>
      </c>
      <c r="AB247" s="8">
        <f>IF(Z247="DATA CONFLICT - VERIFY","P1 - DATA CONFLICT",IF(Z247="SERVICE / STOCKOUT REVIEW","P1 - SERVICE",IF(Z247="OVERSTOCK REVIEW","P2 - OVERSTOCK",IF(Z247="REPLENISHMENT REVIEW","P2 - REPLENISH","P3 - MONITOR"))))</f>
        <v/>
      </c>
      <c r="AC247" s="10" t="n">
        <v>12837.05181818182</v>
      </c>
      <c r="AD247" s="10" t="n">
        <v>7742.025951545455</v>
      </c>
      <c r="AE247" s="10">
        <f>IF(OR(AD247="",H247=""),"",H247*AD247)</f>
        <v/>
      </c>
    </row>
    <row r="248">
      <c r="A248" s="13" t="inlineStr">
        <is>
          <t>2022-12-31</t>
        </is>
      </c>
      <c r="B248" s="13" t="n">
        <v>207</v>
      </c>
      <c r="C248" s="14" t="inlineStr">
        <is>
          <t>IndigoViet UM-09</t>
        </is>
      </c>
      <c r="D248" s="14" t="inlineStr">
        <is>
          <t>Streetwear</t>
        </is>
      </c>
      <c r="E248" s="13" t="inlineStr">
        <is>
          <t>Balanced</t>
        </is>
      </c>
      <c r="F248" s="13" t="inlineStr">
        <is>
          <t>XL</t>
        </is>
      </c>
      <c r="G248" s="13" t="inlineStr">
        <is>
          <t>silver</t>
        </is>
      </c>
      <c r="H248" s="15" t="n">
        <v>35</v>
      </c>
      <c r="I248" s="15" t="n">
        <v>2</v>
      </c>
      <c r="J248" s="16" t="n">
        <v>3.666666666666667</v>
      </c>
      <c r="K248" s="16">
        <f>IFERROR(J248/30,0)</f>
        <v/>
      </c>
      <c r="L248" s="15" t="n">
        <v>0</v>
      </c>
      <c r="M248" s="17" t="n">
        <v>1</v>
      </c>
      <c r="N248" s="15" t="n">
        <v>0</v>
      </c>
      <c r="O248" s="15" t="n">
        <v>1</v>
      </c>
      <c r="P248" s="15" t="n">
        <v>0</v>
      </c>
      <c r="Q248" s="12" t="n">
        <v>0</v>
      </c>
      <c r="R248" s="12" t="n">
        <v>0</v>
      </c>
      <c r="S248" s="15">
        <f>H248+Q248-R248</f>
        <v/>
      </c>
      <c r="T248" s="12" t="n">
        <v>14</v>
      </c>
      <c r="U248" s="12" t="n">
        <v>7</v>
      </c>
      <c r="V248" s="12" t="n">
        <v>7</v>
      </c>
      <c r="W248" s="16">
        <f>K248*(T248+U248)</f>
        <v/>
      </c>
      <c r="X248" s="16">
        <f>K248*(T248+U248+V248)</f>
        <v/>
      </c>
      <c r="Y248" s="16">
        <f>IF(K248&gt;0,H248/K248,99999)</f>
        <v/>
      </c>
      <c r="Z248" s="14">
        <f>IF(AND(OR(L248&gt;=1,M248&lt;0.95),Y248&gt;120),"DATA CONFLICT - VERIFY",IF(OR(L248&gt;=1,M248&lt;0.95,Y248&lt;=14),"SERVICE / STOCKOUT REVIEW",IF(Y248&gt;120,"OVERSTOCK REVIEW",IF(S248&lt;=W248,"REPLENISHMENT REVIEW","NORMAL MONITORING"))))</f>
        <v/>
      </c>
      <c r="AA248" s="15">
        <f>IF(OR(Z248="DATA CONFLICT - VERIFY",Z248="SERVICE / STOCKOUT REVIEW"),0,IF(S248&lt;=W248,MAX(0,ROUNDUP(X248-S248,0)),0))</f>
        <v/>
      </c>
      <c r="AB248" s="14">
        <f>IF(Z248="DATA CONFLICT - VERIFY","P1 - DATA CONFLICT",IF(Z248="SERVICE / STOCKOUT REVIEW","P1 - SERVICE",IF(Z248="OVERSTOCK REVIEW","P2 - OVERSTOCK",IF(Z248="REPLENISHMENT REVIEW","P2 - REPLENISH","P3 - MONITOR"))))</f>
        <v/>
      </c>
      <c r="AC248" s="16" t="n">
        <v>11575.16154929578</v>
      </c>
      <c r="AD248" s="16" t="n">
        <v>8926.764586816902</v>
      </c>
      <c r="AE248" s="16">
        <f>IF(OR(AD248="",H248=""),"",H248*AD248)</f>
        <v/>
      </c>
    </row>
    <row r="249">
      <c r="A249" s="7" t="inlineStr">
        <is>
          <t>2022-12-31</t>
        </is>
      </c>
      <c r="B249" s="7" t="n">
        <v>210</v>
      </c>
      <c r="C249" s="8" t="inlineStr">
        <is>
          <t>IndigoViet UM-12</t>
        </is>
      </c>
      <c r="D249" s="8" t="inlineStr">
        <is>
          <t>Streetwear</t>
        </is>
      </c>
      <c r="E249" s="7" t="inlineStr">
        <is>
          <t>Balanced</t>
        </is>
      </c>
      <c r="F249" s="7" t="inlineStr">
        <is>
          <t>L</t>
        </is>
      </c>
      <c r="G249" s="7" t="inlineStr">
        <is>
          <t>red</t>
        </is>
      </c>
      <c r="H249" s="9" t="n">
        <v>3</v>
      </c>
      <c r="I249" s="9" t="n">
        <v>1</v>
      </c>
      <c r="J249" s="10" t="n">
        <v>1</v>
      </c>
      <c r="K249" s="10">
        <f>IFERROR(J249/30,0)</f>
        <v/>
      </c>
      <c r="L249" s="9" t="n">
        <v>2</v>
      </c>
      <c r="M249" s="11" t="n">
        <v>0.9333</v>
      </c>
      <c r="N249" s="9" t="n">
        <v>1</v>
      </c>
      <c r="O249" s="9" t="n">
        <v>0</v>
      </c>
      <c r="P249" s="9" t="n">
        <v>0</v>
      </c>
      <c r="Q249" s="12" t="n">
        <v>0</v>
      </c>
      <c r="R249" s="12" t="n">
        <v>0</v>
      </c>
      <c r="S249" s="9">
        <f>H249+Q249-R249</f>
        <v/>
      </c>
      <c r="T249" s="12" t="n">
        <v>14</v>
      </c>
      <c r="U249" s="12" t="n">
        <v>7</v>
      </c>
      <c r="V249" s="12" t="n">
        <v>7</v>
      </c>
      <c r="W249" s="10">
        <f>K249*(T249+U249)</f>
        <v/>
      </c>
      <c r="X249" s="10">
        <f>K249*(T249+U249+V249)</f>
        <v/>
      </c>
      <c r="Y249" s="10">
        <f>IF(K249&gt;0,H249/K249,99999)</f>
        <v/>
      </c>
      <c r="Z249" s="8">
        <f>IF(AND(OR(L249&gt;=1,M249&lt;0.95),Y249&gt;120),"DATA CONFLICT - VERIFY",IF(OR(L249&gt;=1,M249&lt;0.95,Y249&lt;=14),"SERVICE / STOCKOUT REVIEW",IF(Y249&gt;120,"OVERSTOCK REVIEW",IF(S249&lt;=W249,"REPLENISHMENT REVIEW","NORMAL MONITORING"))))</f>
        <v/>
      </c>
      <c r="AA249" s="9">
        <f>IF(OR(Z249="DATA CONFLICT - VERIFY",Z249="SERVICE / STOCKOUT REVIEW"),0,IF(S249&lt;=W249,MAX(0,ROUNDUP(X249-S249,0)),0))</f>
        <v/>
      </c>
      <c r="AB249" s="8">
        <f>IF(Z249="DATA CONFLICT - VERIFY","P1 - DATA CONFLICT",IF(Z249="SERVICE / STOCKOUT REVIEW","P1 - SERVICE",IF(Z249="OVERSTOCK REVIEW","P2 - OVERSTOCK",IF(Z249="REPLENISHMENT REVIEW","P2 - REPLENISH","P3 - MONITOR"))))</f>
        <v/>
      </c>
      <c r="AC249" s="10" t="n">
        <v>15511.57081967213</v>
      </c>
      <c r="AD249" s="10" t="n">
        <v>10377.24087836066</v>
      </c>
      <c r="AE249" s="10">
        <f>IF(OR(AD249="",H249=""),"",H249*AD249)</f>
        <v/>
      </c>
    </row>
    <row r="250">
      <c r="A250" s="13" t="inlineStr">
        <is>
          <t>2022-12-31</t>
        </is>
      </c>
      <c r="B250" s="13" t="n">
        <v>231</v>
      </c>
      <c r="C250" s="14" t="inlineStr">
        <is>
          <t>LotusWear UR-03</t>
        </is>
      </c>
      <c r="D250" s="14" t="inlineStr">
        <is>
          <t>Streetwear</t>
        </is>
      </c>
      <c r="E250" s="13" t="inlineStr">
        <is>
          <t>Standard</t>
        </is>
      </c>
      <c r="F250" s="13" t="inlineStr">
        <is>
          <t>XL</t>
        </is>
      </c>
      <c r="G250" s="13" t="inlineStr">
        <is>
          <t>black</t>
        </is>
      </c>
      <c r="H250" s="15" t="n">
        <v>9</v>
      </c>
      <c r="I250" s="15" t="n">
        <v>2</v>
      </c>
      <c r="J250" s="16" t="n">
        <v>1.666666666666667</v>
      </c>
      <c r="K250" s="16">
        <f>IFERROR(J250/30,0)</f>
        <v/>
      </c>
      <c r="L250" s="15" t="n">
        <v>0</v>
      </c>
      <c r="M250" s="17" t="n">
        <v>1</v>
      </c>
      <c r="N250" s="15" t="n">
        <v>0</v>
      </c>
      <c r="O250" s="15" t="n">
        <v>1</v>
      </c>
      <c r="P250" s="15" t="n">
        <v>0</v>
      </c>
      <c r="Q250" s="12" t="n">
        <v>0</v>
      </c>
      <c r="R250" s="12" t="n">
        <v>0</v>
      </c>
      <c r="S250" s="15">
        <f>H250+Q250-R250</f>
        <v/>
      </c>
      <c r="T250" s="12" t="n">
        <v>14</v>
      </c>
      <c r="U250" s="12" t="n">
        <v>7</v>
      </c>
      <c r="V250" s="12" t="n">
        <v>7</v>
      </c>
      <c r="W250" s="16">
        <f>K250*(T250+U250)</f>
        <v/>
      </c>
      <c r="X250" s="16">
        <f>K250*(T250+U250+V250)</f>
        <v/>
      </c>
      <c r="Y250" s="16">
        <f>IF(K250&gt;0,H250/K250,99999)</f>
        <v/>
      </c>
      <c r="Z250" s="14">
        <f>IF(AND(OR(L250&gt;=1,M250&lt;0.95),Y250&gt;120),"DATA CONFLICT - VERIFY",IF(OR(L250&gt;=1,M250&lt;0.95,Y250&lt;=14),"SERVICE / STOCKOUT REVIEW",IF(Y250&gt;120,"OVERSTOCK REVIEW",IF(S250&lt;=W250,"REPLENISHMENT REVIEW","NORMAL MONITORING"))))</f>
        <v/>
      </c>
      <c r="AA250" s="15">
        <f>IF(OR(Z250="DATA CONFLICT - VERIFY",Z250="SERVICE / STOCKOUT REVIEW"),0,IF(S250&lt;=W250,MAX(0,ROUNDUP(X250-S250,0)),0))</f>
        <v/>
      </c>
      <c r="AB250" s="14">
        <f>IF(Z250="DATA CONFLICT - VERIFY","P1 - DATA CONFLICT",IF(Z250="SERVICE / STOCKOUT REVIEW","P1 - SERVICE",IF(Z250="OVERSTOCK REVIEW","P2 - OVERSTOCK",IF(Z250="REPLENISHMENT REVIEW","P2 - REPLENISH","P3 - MONITOR"))))</f>
        <v/>
      </c>
      <c r="AC250" s="16" t="n">
        <v>8690.85</v>
      </c>
      <c r="AD250" s="16" t="n">
        <v>8180.697105</v>
      </c>
      <c r="AE250" s="16">
        <f>IF(OR(AD250="",H250=""),"",H250*AD250)</f>
        <v/>
      </c>
    </row>
    <row r="251">
      <c r="A251" s="7" t="inlineStr">
        <is>
          <t>2022-12-31</t>
        </is>
      </c>
      <c r="B251" s="7" t="n">
        <v>236</v>
      </c>
      <c r="C251" s="8" t="inlineStr">
        <is>
          <t>LotusWear UR-08</t>
        </is>
      </c>
      <c r="D251" s="8" t="inlineStr">
        <is>
          <t>Streetwear</t>
        </is>
      </c>
      <c r="E251" s="7" t="inlineStr">
        <is>
          <t>Standard</t>
        </is>
      </c>
      <c r="F251" s="7" t="inlineStr">
        <is>
          <t>S</t>
        </is>
      </c>
      <c r="G251" s="7" t="inlineStr">
        <is>
          <t>green</t>
        </is>
      </c>
      <c r="H251" s="9" t="n">
        <v>21</v>
      </c>
      <c r="I251" s="9" t="n">
        <v>4</v>
      </c>
      <c r="J251" s="10" t="n">
        <v>4</v>
      </c>
      <c r="K251" s="10">
        <f>IFERROR(J251/30,0)</f>
        <v/>
      </c>
      <c r="L251" s="9" t="n">
        <v>1</v>
      </c>
      <c r="M251" s="11" t="n">
        <v>0.9667</v>
      </c>
      <c r="N251" s="9" t="n">
        <v>1</v>
      </c>
      <c r="O251" s="9" t="n">
        <v>1</v>
      </c>
      <c r="P251" s="9" t="n">
        <v>0</v>
      </c>
      <c r="Q251" s="12" t="n">
        <v>0</v>
      </c>
      <c r="R251" s="12" t="n">
        <v>0</v>
      </c>
      <c r="S251" s="9">
        <f>H251+Q251-R251</f>
        <v/>
      </c>
      <c r="T251" s="12" t="n">
        <v>14</v>
      </c>
      <c r="U251" s="12" t="n">
        <v>7</v>
      </c>
      <c r="V251" s="12" t="n">
        <v>7</v>
      </c>
      <c r="W251" s="10">
        <f>K251*(T251+U251)</f>
        <v/>
      </c>
      <c r="X251" s="10">
        <f>K251*(T251+U251+V251)</f>
        <v/>
      </c>
      <c r="Y251" s="10">
        <f>IF(K251&gt;0,H251/K251,99999)</f>
        <v/>
      </c>
      <c r="Z251" s="8">
        <f>IF(AND(OR(L251&gt;=1,M251&lt;0.95),Y251&gt;120),"DATA CONFLICT - VERIFY",IF(OR(L251&gt;=1,M251&lt;0.95,Y251&lt;=14),"SERVICE / STOCKOUT REVIEW",IF(Y251&gt;120,"OVERSTOCK REVIEW",IF(S251&lt;=W251,"REPLENISHMENT REVIEW","NORMAL MONITORING"))))</f>
        <v/>
      </c>
      <c r="AA251" s="9">
        <f>IF(OR(Z251="DATA CONFLICT - VERIFY",Z251="SERVICE / STOCKOUT REVIEW"),0,IF(S251&lt;=W251,MAX(0,ROUNDUP(X251-S251,0)),0))</f>
        <v/>
      </c>
      <c r="AB251" s="8">
        <f>IF(Z251="DATA CONFLICT - VERIFY","P1 - DATA CONFLICT",IF(Z251="SERVICE / STOCKOUT REVIEW","P1 - SERVICE",IF(Z251="OVERSTOCK REVIEW","P2 - OVERSTOCK",IF(Z251="REPLENISHMENT REVIEW","P2 - REPLENISH","P3 - MONITOR"))))</f>
        <v/>
      </c>
      <c r="AC251" s="10" t="n">
        <v>6434.257407407407</v>
      </c>
      <c r="AD251" s="10" t="n">
        <v>5945.253844444444</v>
      </c>
      <c r="AE251" s="10">
        <f>IF(OR(AD251="",H251=""),"",H251*AD251)</f>
        <v/>
      </c>
    </row>
    <row r="252">
      <c r="A252" s="13" t="inlineStr">
        <is>
          <t>2022-12-31</t>
        </is>
      </c>
      <c r="B252" s="13" t="n">
        <v>252</v>
      </c>
      <c r="C252" s="14" t="inlineStr">
        <is>
          <t>LotusWear UR-24</t>
        </is>
      </c>
      <c r="D252" s="14" t="inlineStr">
        <is>
          <t>Streetwear</t>
        </is>
      </c>
      <c r="E252" s="13" t="inlineStr">
        <is>
          <t>Standard</t>
        </is>
      </c>
      <c r="F252" s="13" t="inlineStr">
        <is>
          <t>S</t>
        </is>
      </c>
      <c r="G252" s="13" t="inlineStr">
        <is>
          <t>orange</t>
        </is>
      </c>
      <c r="H252" s="15" t="n">
        <v>34</v>
      </c>
      <c r="I252" s="15" t="n">
        <v>1</v>
      </c>
      <c r="J252" s="16" t="n">
        <v>2</v>
      </c>
      <c r="K252" s="16">
        <f>IFERROR(J252/30,0)</f>
        <v/>
      </c>
      <c r="L252" s="15" t="n">
        <v>2</v>
      </c>
      <c r="M252" s="17" t="n">
        <v>0.9333</v>
      </c>
      <c r="N252" s="15" t="n">
        <v>1</v>
      </c>
      <c r="O252" s="15" t="n">
        <v>1</v>
      </c>
      <c r="P252" s="15" t="n">
        <v>0</v>
      </c>
      <c r="Q252" s="12" t="n">
        <v>0</v>
      </c>
      <c r="R252" s="12" t="n">
        <v>0</v>
      </c>
      <c r="S252" s="15">
        <f>H252+Q252-R252</f>
        <v/>
      </c>
      <c r="T252" s="12" t="n">
        <v>14</v>
      </c>
      <c r="U252" s="12" t="n">
        <v>7</v>
      </c>
      <c r="V252" s="12" t="n">
        <v>7</v>
      </c>
      <c r="W252" s="16">
        <f>K252*(T252+U252)</f>
        <v/>
      </c>
      <c r="X252" s="16">
        <f>K252*(T252+U252+V252)</f>
        <v/>
      </c>
      <c r="Y252" s="16">
        <f>IF(K252&gt;0,H252/K252,99999)</f>
        <v/>
      </c>
      <c r="Z252" s="14">
        <f>IF(AND(OR(L252&gt;=1,M252&lt;0.95),Y252&gt;120),"DATA CONFLICT - VERIFY",IF(OR(L252&gt;=1,M252&lt;0.95,Y252&lt;=14),"SERVICE / STOCKOUT REVIEW",IF(Y252&gt;120,"OVERSTOCK REVIEW",IF(S252&lt;=W252,"REPLENISHMENT REVIEW","NORMAL MONITORING"))))</f>
        <v/>
      </c>
      <c r="AA252" s="15">
        <f>IF(OR(Z252="DATA CONFLICT - VERIFY",Z252="SERVICE / STOCKOUT REVIEW"),0,IF(S252&lt;=W252,MAX(0,ROUNDUP(X252-S252,0)),0))</f>
        <v/>
      </c>
      <c r="AB252" s="14">
        <f>IF(Z252="DATA CONFLICT - VERIFY","P1 - DATA CONFLICT",IF(Z252="SERVICE / STOCKOUT REVIEW","P1 - SERVICE",IF(Z252="OVERSTOCK REVIEW","P2 - OVERSTOCK",IF(Z252="REPLENISHMENT REVIEW","P2 - REPLENISH","P3 - MONITOR"))))</f>
        <v/>
      </c>
      <c r="AC252" s="16" t="n">
        <v>7556.85</v>
      </c>
      <c r="AD252" s="16" t="n">
        <v>4964.094765</v>
      </c>
      <c r="AE252" s="16">
        <f>IF(OR(AD252="",H252=""),"",H252*AD252)</f>
        <v/>
      </c>
    </row>
    <row r="253">
      <c r="A253" s="7" t="inlineStr">
        <is>
          <t>2022-12-31</t>
        </is>
      </c>
      <c r="B253" s="7" t="n">
        <v>292</v>
      </c>
      <c r="C253" s="8" t="inlineStr">
        <is>
          <t>LotusWear UE-13</t>
        </is>
      </c>
      <c r="D253" s="8" t="inlineStr">
        <is>
          <t>Streetwear</t>
        </is>
      </c>
      <c r="E253" s="7" t="inlineStr">
        <is>
          <t>Performance</t>
        </is>
      </c>
      <c r="F253" s="7" t="inlineStr">
        <is>
          <t>S</t>
        </is>
      </c>
      <c r="G253" s="7" t="inlineStr">
        <is>
          <t>orange</t>
        </is>
      </c>
      <c r="H253" s="9" t="n">
        <v>30</v>
      </c>
      <c r="I253" s="9" t="n">
        <v>3</v>
      </c>
      <c r="J253" s="10" t="n">
        <v>4.666666666666667</v>
      </c>
      <c r="K253" s="10">
        <f>IFERROR(J253/30,0)</f>
        <v/>
      </c>
      <c r="L253" s="9" t="n">
        <v>1</v>
      </c>
      <c r="M253" s="11" t="n">
        <v>0.9667</v>
      </c>
      <c r="N253" s="9" t="n">
        <v>1</v>
      </c>
      <c r="O253" s="9" t="n">
        <v>1</v>
      </c>
      <c r="P253" s="9" t="n">
        <v>0</v>
      </c>
      <c r="Q253" s="12" t="n">
        <v>0</v>
      </c>
      <c r="R253" s="12" t="n">
        <v>0</v>
      </c>
      <c r="S253" s="9">
        <f>H253+Q253-R253</f>
        <v/>
      </c>
      <c r="T253" s="12" t="n">
        <v>14</v>
      </c>
      <c r="U253" s="12" t="n">
        <v>7</v>
      </c>
      <c r="V253" s="12" t="n">
        <v>7</v>
      </c>
      <c r="W253" s="10">
        <f>K253*(T253+U253)</f>
        <v/>
      </c>
      <c r="X253" s="10">
        <f>K253*(T253+U253+V253)</f>
        <v/>
      </c>
      <c r="Y253" s="10">
        <f>IF(K253&gt;0,H253/K253,99999)</f>
        <v/>
      </c>
      <c r="Z253" s="8">
        <f>IF(AND(OR(L253&gt;=1,M253&lt;0.95),Y253&gt;120),"DATA CONFLICT - VERIFY",IF(OR(L253&gt;=1,M253&lt;0.95,Y253&lt;=14),"SERVICE / STOCKOUT REVIEW",IF(Y253&gt;120,"OVERSTOCK REVIEW",IF(S253&lt;=W253,"REPLENISHMENT REVIEW","NORMAL MONITORING"))))</f>
        <v/>
      </c>
      <c r="AA253" s="9">
        <f>IF(OR(Z253="DATA CONFLICT - VERIFY",Z253="SERVICE / STOCKOUT REVIEW"),0,IF(S253&lt;=W253,MAX(0,ROUNDUP(X253-S253,0)),0))</f>
        <v/>
      </c>
      <c r="AB253" s="8">
        <f>IF(Z253="DATA CONFLICT - VERIFY","P1 - DATA CONFLICT",IF(Z253="SERVICE / STOCKOUT REVIEW","P1 - SERVICE",IF(Z253="OVERSTOCK REVIEW","P2 - OVERSTOCK",IF(Z253="REPLENISHMENT REVIEW","P2 - REPLENISH","P3 - MONITOR"))))</f>
        <v/>
      </c>
      <c r="AC253" s="10" t="n">
        <v>8269.868691588787</v>
      </c>
      <c r="AD253" s="10" t="n">
        <v>7282.446369813084</v>
      </c>
      <c r="AE253" s="10">
        <f>IF(OR(AD253="",H253=""),"",H253*AD253)</f>
        <v/>
      </c>
    </row>
    <row r="254">
      <c r="A254" s="13" t="inlineStr">
        <is>
          <t>2022-12-31</t>
        </is>
      </c>
      <c r="B254" s="13" t="n">
        <v>295</v>
      </c>
      <c r="C254" s="14" t="inlineStr">
        <is>
          <t>LotusWear UE-16</t>
        </is>
      </c>
      <c r="D254" s="14" t="inlineStr">
        <is>
          <t>Streetwear</t>
        </is>
      </c>
      <c r="E254" s="13" t="inlineStr">
        <is>
          <t>Performance</t>
        </is>
      </c>
      <c r="F254" s="13" t="inlineStr">
        <is>
          <t>XL</t>
        </is>
      </c>
      <c r="G254" s="13" t="inlineStr">
        <is>
          <t>purple</t>
        </is>
      </c>
      <c r="H254" s="15" t="n">
        <v>24</v>
      </c>
      <c r="I254" s="15" t="n">
        <v>10</v>
      </c>
      <c r="J254" s="16" t="n">
        <v>5</v>
      </c>
      <c r="K254" s="16">
        <f>IFERROR(J254/30,0)</f>
        <v/>
      </c>
      <c r="L254" s="15" t="n">
        <v>0</v>
      </c>
      <c r="M254" s="17" t="n">
        <v>1</v>
      </c>
      <c r="N254" s="15" t="n">
        <v>0</v>
      </c>
      <c r="O254" s="15" t="n">
        <v>0</v>
      </c>
      <c r="P254" s="15" t="n">
        <v>0</v>
      </c>
      <c r="Q254" s="12" t="n">
        <v>0</v>
      </c>
      <c r="R254" s="12" t="n">
        <v>0</v>
      </c>
      <c r="S254" s="15">
        <f>H254+Q254-R254</f>
        <v/>
      </c>
      <c r="T254" s="12" t="n">
        <v>14</v>
      </c>
      <c r="U254" s="12" t="n">
        <v>7</v>
      </c>
      <c r="V254" s="12" t="n">
        <v>7</v>
      </c>
      <c r="W254" s="16">
        <f>K254*(T254+U254)</f>
        <v/>
      </c>
      <c r="X254" s="16">
        <f>K254*(T254+U254+V254)</f>
        <v/>
      </c>
      <c r="Y254" s="16">
        <f>IF(K254&gt;0,H254/K254,99999)</f>
        <v/>
      </c>
      <c r="Z254" s="14">
        <f>IF(AND(OR(L254&gt;=1,M254&lt;0.95),Y254&gt;120),"DATA CONFLICT - VERIFY",IF(OR(L254&gt;=1,M254&lt;0.95,Y254&lt;=14),"SERVICE / STOCKOUT REVIEW",IF(Y254&gt;120,"OVERSTOCK REVIEW",IF(S254&lt;=W254,"REPLENISHMENT REVIEW","NORMAL MONITORING"))))</f>
        <v/>
      </c>
      <c r="AA254" s="15">
        <f>IF(OR(Z254="DATA CONFLICT - VERIFY",Z254="SERVICE / STOCKOUT REVIEW"),0,IF(S254&lt;=W254,MAX(0,ROUNDUP(X254-S254,0)),0))</f>
        <v/>
      </c>
      <c r="AB254" s="14">
        <f>IF(Z254="DATA CONFLICT - VERIFY","P1 - DATA CONFLICT",IF(Z254="SERVICE / STOCKOUT REVIEW","P1 - SERVICE",IF(Z254="OVERSTOCK REVIEW","P2 - OVERSTOCK",IF(Z254="REPLENISHMENT REVIEW","P2 - REPLENISH","P3 - MONITOR"))))</f>
        <v/>
      </c>
      <c r="AC254" s="16" t="n">
        <v>12596.85</v>
      </c>
      <c r="AD254" s="16" t="n">
        <v>8588.53233</v>
      </c>
      <c r="AE254" s="16">
        <f>IF(OR(AD254="",H254=""),"",H254*AD254)</f>
        <v/>
      </c>
    </row>
    <row r="255">
      <c r="A255" s="7" t="inlineStr">
        <is>
          <t>2022-12-31</t>
        </is>
      </c>
      <c r="B255" s="7" t="n">
        <v>296</v>
      </c>
      <c r="C255" s="8" t="inlineStr">
        <is>
          <t>LotusWear UE-17</t>
        </is>
      </c>
      <c r="D255" s="8" t="inlineStr">
        <is>
          <t>Streetwear</t>
        </is>
      </c>
      <c r="E255" s="7" t="inlineStr">
        <is>
          <t>Performance</t>
        </is>
      </c>
      <c r="F255" s="7" t="inlineStr">
        <is>
          <t>S</t>
        </is>
      </c>
      <c r="G255" s="7" t="inlineStr">
        <is>
          <t>green</t>
        </is>
      </c>
      <c r="H255" s="9" t="n">
        <v>3</v>
      </c>
      <c r="I255" s="9" t="n">
        <v>1</v>
      </c>
      <c r="J255" s="10" t="n">
        <v>1</v>
      </c>
      <c r="K255" s="10">
        <f>IFERROR(J255/30,0)</f>
        <v/>
      </c>
      <c r="L255" s="9" t="n">
        <v>2</v>
      </c>
      <c r="M255" s="11" t="n">
        <v>0.9333</v>
      </c>
      <c r="N255" s="9" t="n">
        <v>1</v>
      </c>
      <c r="O255" s="9" t="n">
        <v>0</v>
      </c>
      <c r="P255" s="9" t="n">
        <v>0</v>
      </c>
      <c r="Q255" s="12" t="n">
        <v>0</v>
      </c>
      <c r="R255" s="12" t="n">
        <v>0</v>
      </c>
      <c r="S255" s="9">
        <f>H255+Q255-R255</f>
        <v/>
      </c>
      <c r="T255" s="12" t="n">
        <v>14</v>
      </c>
      <c r="U255" s="12" t="n">
        <v>7</v>
      </c>
      <c r="V255" s="12" t="n">
        <v>7</v>
      </c>
      <c r="W255" s="10">
        <f>K255*(T255+U255)</f>
        <v/>
      </c>
      <c r="X255" s="10">
        <f>K255*(T255+U255+V255)</f>
        <v/>
      </c>
      <c r="Y255" s="10">
        <f>IF(K255&gt;0,H255/K255,99999)</f>
        <v/>
      </c>
      <c r="Z255" s="8">
        <f>IF(AND(OR(L255&gt;=1,M255&lt;0.95),Y255&gt;120),"DATA CONFLICT - VERIFY",IF(OR(L255&gt;=1,M255&lt;0.95,Y255&lt;=14),"SERVICE / STOCKOUT REVIEW",IF(Y255&gt;120,"OVERSTOCK REVIEW",IF(S255&lt;=W255,"REPLENISHMENT REVIEW","NORMAL MONITORING"))))</f>
        <v/>
      </c>
      <c r="AA255" s="9">
        <f>IF(OR(Z255="DATA CONFLICT - VERIFY",Z255="SERVICE / STOCKOUT REVIEW"),0,IF(S255&lt;=W255,MAX(0,ROUNDUP(X255-S255,0)),0))</f>
        <v/>
      </c>
      <c r="AB255" s="8">
        <f>IF(Z255="DATA CONFLICT - VERIFY","P1 - DATA CONFLICT",IF(Z255="SERVICE / STOCKOUT REVIEW","P1 - SERVICE",IF(Z255="OVERSTOCK REVIEW","P2 - OVERSTOCK",IF(Z255="REPLENISHMENT REVIEW","P2 - REPLENISH","P3 - MONITOR"))))</f>
        <v/>
      </c>
      <c r="AC255" s="10" t="n">
        <v>27716.85</v>
      </c>
      <c r="AD255" s="10" t="n">
        <v>14598.464895</v>
      </c>
      <c r="AE255" s="10">
        <f>IF(OR(AD255="",H255=""),"",H255*AD255)</f>
        <v/>
      </c>
    </row>
    <row r="256">
      <c r="A256" s="13" t="inlineStr">
        <is>
          <t>2022-12-31</t>
        </is>
      </c>
      <c r="B256" s="13" t="n">
        <v>308</v>
      </c>
      <c r="C256" s="14" t="inlineStr">
        <is>
          <t>LotusWear UE-29</t>
        </is>
      </c>
      <c r="D256" s="14" t="inlineStr">
        <is>
          <t>Streetwear</t>
        </is>
      </c>
      <c r="E256" s="13" t="inlineStr">
        <is>
          <t>Performance</t>
        </is>
      </c>
      <c r="F256" s="13" t="inlineStr">
        <is>
          <t>S</t>
        </is>
      </c>
      <c r="G256" s="13" t="inlineStr">
        <is>
          <t>pink</t>
        </is>
      </c>
      <c r="H256" s="15" t="n">
        <v>11</v>
      </c>
      <c r="I256" s="15" t="n">
        <v>2</v>
      </c>
      <c r="J256" s="16" t="n">
        <v>1.666666666666667</v>
      </c>
      <c r="K256" s="16">
        <f>IFERROR(J256/30,0)</f>
        <v/>
      </c>
      <c r="L256" s="15" t="n">
        <v>0</v>
      </c>
      <c r="M256" s="17" t="n">
        <v>1</v>
      </c>
      <c r="N256" s="15" t="n">
        <v>0</v>
      </c>
      <c r="O256" s="15" t="n">
        <v>1</v>
      </c>
      <c r="P256" s="15" t="n">
        <v>0</v>
      </c>
      <c r="Q256" s="12" t="n">
        <v>0</v>
      </c>
      <c r="R256" s="12" t="n">
        <v>0</v>
      </c>
      <c r="S256" s="15">
        <f>H256+Q256-R256</f>
        <v/>
      </c>
      <c r="T256" s="12" t="n">
        <v>14</v>
      </c>
      <c r="U256" s="12" t="n">
        <v>7</v>
      </c>
      <c r="V256" s="12" t="n">
        <v>7</v>
      </c>
      <c r="W256" s="16">
        <f>K256*(T256+U256)</f>
        <v/>
      </c>
      <c r="X256" s="16">
        <f>K256*(T256+U256+V256)</f>
        <v/>
      </c>
      <c r="Y256" s="16">
        <f>IF(K256&gt;0,H256/K256,99999)</f>
        <v/>
      </c>
      <c r="Z256" s="14">
        <f>IF(AND(OR(L256&gt;=1,M256&lt;0.95),Y256&gt;120),"DATA CONFLICT - VERIFY",IF(OR(L256&gt;=1,M256&lt;0.95,Y256&lt;=14),"SERVICE / STOCKOUT REVIEW",IF(Y256&gt;120,"OVERSTOCK REVIEW",IF(S256&lt;=W256,"REPLENISHMENT REVIEW","NORMAL MONITORING"))))</f>
        <v/>
      </c>
      <c r="AA256" s="15">
        <f>IF(OR(Z256="DATA CONFLICT - VERIFY",Z256="SERVICE / STOCKOUT REVIEW"),0,IF(S256&lt;=W256,MAX(0,ROUNDUP(X256-S256,0)),0))</f>
        <v/>
      </c>
      <c r="AB256" s="14">
        <f>IF(Z256="DATA CONFLICT - VERIFY","P1 - DATA CONFLICT",IF(Z256="SERVICE / STOCKOUT REVIEW","P1 - SERVICE",IF(Z256="OVERSTOCK REVIEW","P2 - OVERSTOCK",IF(Z256="REPLENISHMENT REVIEW","P2 - REPLENISH","P3 - MONITOR"))))</f>
        <v/>
      </c>
      <c r="AC256" s="16" t="n">
        <v>15162.94756097561</v>
      </c>
      <c r="AD256" s="16" t="n">
        <v>10231.95701414634</v>
      </c>
      <c r="AE256" s="16">
        <f>IF(OR(AD256="",H256=""),"",H256*AD256)</f>
        <v/>
      </c>
    </row>
    <row r="257">
      <c r="A257" s="7" t="inlineStr">
        <is>
          <t>2022-12-31</t>
        </is>
      </c>
      <c r="B257" s="7" t="n">
        <v>324</v>
      </c>
      <c r="C257" s="8" t="inlineStr">
        <is>
          <t>LotusWear UE-45</t>
        </is>
      </c>
      <c r="D257" s="8" t="inlineStr">
        <is>
          <t>Streetwear</t>
        </is>
      </c>
      <c r="E257" s="7" t="inlineStr">
        <is>
          <t>Performance</t>
        </is>
      </c>
      <c r="F257" s="7" t="inlineStr">
        <is>
          <t>S</t>
        </is>
      </c>
      <c r="G257" s="7" t="inlineStr">
        <is>
          <t>white</t>
        </is>
      </c>
      <c r="H257" s="9" t="n">
        <v>23</v>
      </c>
      <c r="I257" s="9" t="n">
        <v>1</v>
      </c>
      <c r="J257" s="10" t="n">
        <v>1.333333333333333</v>
      </c>
      <c r="K257" s="10">
        <f>IFERROR(J257/30,0)</f>
        <v/>
      </c>
      <c r="L257" s="9" t="n">
        <v>0</v>
      </c>
      <c r="M257" s="11" t="n">
        <v>1</v>
      </c>
      <c r="N257" s="9" t="n">
        <v>0</v>
      </c>
      <c r="O257" s="9" t="n">
        <v>1</v>
      </c>
      <c r="P257" s="9" t="n">
        <v>0</v>
      </c>
      <c r="Q257" s="12" t="n">
        <v>0</v>
      </c>
      <c r="R257" s="12" t="n">
        <v>0</v>
      </c>
      <c r="S257" s="9">
        <f>H257+Q257-R257</f>
        <v/>
      </c>
      <c r="T257" s="12" t="n">
        <v>14</v>
      </c>
      <c r="U257" s="12" t="n">
        <v>7</v>
      </c>
      <c r="V257" s="12" t="n">
        <v>7</v>
      </c>
      <c r="W257" s="10">
        <f>K257*(T257+U257)</f>
        <v/>
      </c>
      <c r="X257" s="10">
        <f>K257*(T257+U257+V257)</f>
        <v/>
      </c>
      <c r="Y257" s="10">
        <f>IF(K257&gt;0,H257/K257,99999)</f>
        <v/>
      </c>
      <c r="Z257" s="8">
        <f>IF(AND(OR(L257&gt;=1,M257&lt;0.95),Y257&gt;120),"DATA CONFLICT - VERIFY",IF(OR(L257&gt;=1,M257&lt;0.95,Y257&lt;=14),"SERVICE / STOCKOUT REVIEW",IF(Y257&gt;120,"OVERSTOCK REVIEW",IF(S257&lt;=W257,"REPLENISHMENT REVIEW","NORMAL MONITORING"))))</f>
        <v/>
      </c>
      <c r="AA257" s="9">
        <f>IF(OR(Z257="DATA CONFLICT - VERIFY",Z257="SERVICE / STOCKOUT REVIEW"),0,IF(S257&lt;=W257,MAX(0,ROUNDUP(X257-S257,0)),0))</f>
        <v/>
      </c>
      <c r="AB257" s="8">
        <f>IF(Z257="DATA CONFLICT - VERIFY","P1 - DATA CONFLICT",IF(Z257="SERVICE / STOCKOUT REVIEW","P1 - SERVICE",IF(Z257="OVERSTOCK REVIEW","P2 - OVERSTOCK",IF(Z257="REPLENISHMENT REVIEW","P2 - REPLENISH","P3 - MONITOR"))))</f>
        <v/>
      </c>
      <c r="AC257" s="10" t="n">
        <v>13905.65281690141</v>
      </c>
      <c r="AD257" s="10" t="n">
        <v>7827.491970633802</v>
      </c>
      <c r="AE257" s="10">
        <f>IF(OR(AD257="",H257=""),"",H257*AD257)</f>
        <v/>
      </c>
    </row>
    <row r="258">
      <c r="A258" s="13" t="inlineStr">
        <is>
          <t>2022-12-31</t>
        </is>
      </c>
      <c r="B258" s="13" t="n">
        <v>336</v>
      </c>
      <c r="C258" s="14" t="inlineStr">
        <is>
          <t>LotusWear UE-57</t>
        </is>
      </c>
      <c r="D258" s="14" t="inlineStr">
        <is>
          <t>Streetwear</t>
        </is>
      </c>
      <c r="E258" s="13" t="inlineStr">
        <is>
          <t>Performance</t>
        </is>
      </c>
      <c r="F258" s="13" t="inlineStr">
        <is>
          <t>S</t>
        </is>
      </c>
      <c r="G258" s="13" t="inlineStr">
        <is>
          <t>green</t>
        </is>
      </c>
      <c r="H258" s="15" t="n">
        <v>9</v>
      </c>
      <c r="I258" s="15" t="n">
        <v>3</v>
      </c>
      <c r="J258" s="16" t="n">
        <v>2.333333333333333</v>
      </c>
      <c r="K258" s="16">
        <f>IFERROR(J258/30,0)</f>
        <v/>
      </c>
      <c r="L258" s="15" t="n">
        <v>2</v>
      </c>
      <c r="M258" s="17" t="n">
        <v>0.9333</v>
      </c>
      <c r="N258" s="15" t="n">
        <v>1</v>
      </c>
      <c r="O258" s="15" t="n">
        <v>0</v>
      </c>
      <c r="P258" s="15" t="n">
        <v>0</v>
      </c>
      <c r="Q258" s="12" t="n">
        <v>0</v>
      </c>
      <c r="R258" s="12" t="n">
        <v>0</v>
      </c>
      <c r="S258" s="15">
        <f>H258+Q258-R258</f>
        <v/>
      </c>
      <c r="T258" s="12" t="n">
        <v>14</v>
      </c>
      <c r="U258" s="12" t="n">
        <v>7</v>
      </c>
      <c r="V258" s="12" t="n">
        <v>7</v>
      </c>
      <c r="W258" s="16">
        <f>K258*(T258+U258)</f>
        <v/>
      </c>
      <c r="X258" s="16">
        <f>K258*(T258+U258+V258)</f>
        <v/>
      </c>
      <c r="Y258" s="16">
        <f>IF(K258&gt;0,H258/K258,99999)</f>
        <v/>
      </c>
      <c r="Z258" s="14">
        <f>IF(AND(OR(L258&gt;=1,M258&lt;0.95),Y258&gt;120),"DATA CONFLICT - VERIFY",IF(OR(L258&gt;=1,M258&lt;0.95,Y258&lt;=14),"SERVICE / STOCKOUT REVIEW",IF(Y258&gt;120,"OVERSTOCK REVIEW",IF(S258&lt;=W258,"REPLENISHMENT REVIEW","NORMAL MONITORING"))))</f>
        <v/>
      </c>
      <c r="AA258" s="15">
        <f>IF(OR(Z258="DATA CONFLICT - VERIFY",Z258="SERVICE / STOCKOUT REVIEW"),0,IF(S258&lt;=W258,MAX(0,ROUNDUP(X258-S258,0)),0))</f>
        <v/>
      </c>
      <c r="AB258" s="14">
        <f>IF(Z258="DATA CONFLICT - VERIFY","P1 - DATA CONFLICT",IF(Z258="SERVICE / STOCKOUT REVIEW","P1 - SERVICE",IF(Z258="OVERSTOCK REVIEW","P2 - OVERSTOCK",IF(Z258="REPLENISHMENT REVIEW","P2 - REPLENISH","P3 - MONITOR"))))</f>
        <v/>
      </c>
      <c r="AC258" s="16" t="n">
        <v>11336.85</v>
      </c>
      <c r="AD258" s="16" t="n">
        <v>10770.0075</v>
      </c>
      <c r="AE258" s="16">
        <f>IF(OR(AD258="",H258=""),"",H258*AD258)</f>
        <v/>
      </c>
    </row>
    <row r="259">
      <c r="A259" s="7" t="inlineStr">
        <is>
          <t>2022-12-31</t>
        </is>
      </c>
      <c r="B259" s="7" t="n">
        <v>338</v>
      </c>
      <c r="C259" s="8" t="inlineStr">
        <is>
          <t>LotusWear UE-59</t>
        </is>
      </c>
      <c r="D259" s="8" t="inlineStr">
        <is>
          <t>Streetwear</t>
        </is>
      </c>
      <c r="E259" s="7" t="inlineStr">
        <is>
          <t>Performance</t>
        </is>
      </c>
      <c r="F259" s="7" t="inlineStr">
        <is>
          <t>L</t>
        </is>
      </c>
      <c r="G259" s="7" t="inlineStr">
        <is>
          <t>pink</t>
        </is>
      </c>
      <c r="H259" s="9" t="n">
        <v>37</v>
      </c>
      <c r="I259" s="9" t="n">
        <v>1</v>
      </c>
      <c r="J259" s="10" t="n">
        <v>3</v>
      </c>
      <c r="K259" s="10">
        <f>IFERROR(J259/30,0)</f>
        <v/>
      </c>
      <c r="L259" s="9" t="n">
        <v>2</v>
      </c>
      <c r="M259" s="11" t="n">
        <v>0.9333</v>
      </c>
      <c r="N259" s="9" t="n">
        <v>1</v>
      </c>
      <c r="O259" s="9" t="n">
        <v>1</v>
      </c>
      <c r="P259" s="9" t="n">
        <v>0</v>
      </c>
      <c r="Q259" s="12" t="n">
        <v>0</v>
      </c>
      <c r="R259" s="12" t="n">
        <v>0</v>
      </c>
      <c r="S259" s="9">
        <f>H259+Q259-R259</f>
        <v/>
      </c>
      <c r="T259" s="12" t="n">
        <v>14</v>
      </c>
      <c r="U259" s="12" t="n">
        <v>7</v>
      </c>
      <c r="V259" s="12" t="n">
        <v>7</v>
      </c>
      <c r="W259" s="10">
        <f>K259*(T259+U259)</f>
        <v/>
      </c>
      <c r="X259" s="10">
        <f>K259*(T259+U259+V259)</f>
        <v/>
      </c>
      <c r="Y259" s="10">
        <f>IF(K259&gt;0,H259/K259,99999)</f>
        <v/>
      </c>
      <c r="Z259" s="8">
        <f>IF(AND(OR(L259&gt;=1,M259&lt;0.95),Y259&gt;120),"DATA CONFLICT - VERIFY",IF(OR(L259&gt;=1,M259&lt;0.95,Y259&lt;=14),"SERVICE / STOCKOUT REVIEW",IF(Y259&gt;120,"OVERSTOCK REVIEW",IF(S259&lt;=W259,"REPLENISHMENT REVIEW","NORMAL MONITORING"))))</f>
        <v/>
      </c>
      <c r="AA259" s="9">
        <f>IF(OR(Z259="DATA CONFLICT - VERIFY",Z259="SERVICE / STOCKOUT REVIEW"),0,IF(S259&lt;=W259,MAX(0,ROUNDUP(X259-S259,0)),0))</f>
        <v/>
      </c>
      <c r="AB259" s="8">
        <f>IF(Z259="DATA CONFLICT - VERIFY","P1 - DATA CONFLICT",IF(Z259="SERVICE / STOCKOUT REVIEW","P1 - SERVICE",IF(Z259="OVERSTOCK REVIEW","P2 - OVERSTOCK",IF(Z259="REPLENISHMENT REVIEW","P2 - REPLENISH","P3 - MONITOR"))))</f>
        <v/>
      </c>
      <c r="AC259" s="10" t="n">
        <v>17636.85</v>
      </c>
      <c r="AD259" s="10" t="n">
        <v>11541.55464</v>
      </c>
      <c r="AE259" s="10">
        <f>IF(OR(AD259="",H259=""),"",H259*AD259)</f>
        <v/>
      </c>
    </row>
    <row r="260">
      <c r="A260" s="13" t="inlineStr">
        <is>
          <t>2022-12-31</t>
        </is>
      </c>
      <c r="B260" s="13" t="n">
        <v>342</v>
      </c>
      <c r="C260" s="14" t="inlineStr">
        <is>
          <t>LotusWear UE-63</t>
        </is>
      </c>
      <c r="D260" s="14" t="inlineStr">
        <is>
          <t>Streetwear</t>
        </is>
      </c>
      <c r="E260" s="13" t="inlineStr">
        <is>
          <t>Performance</t>
        </is>
      </c>
      <c r="F260" s="13" t="inlineStr">
        <is>
          <t>L</t>
        </is>
      </c>
      <c r="G260" s="13" t="inlineStr">
        <is>
          <t>orange</t>
        </is>
      </c>
      <c r="H260" s="15" t="n">
        <v>84</v>
      </c>
      <c r="I260" s="15" t="n">
        <v>1</v>
      </c>
      <c r="J260" s="16" t="n">
        <v>1</v>
      </c>
      <c r="K260" s="16">
        <f>IFERROR(J260/30,0)</f>
        <v/>
      </c>
      <c r="L260" s="15" t="n">
        <v>2</v>
      </c>
      <c r="M260" s="17" t="n">
        <v>0.9333</v>
      </c>
      <c r="N260" s="15" t="n">
        <v>1</v>
      </c>
      <c r="O260" s="15" t="n">
        <v>1</v>
      </c>
      <c r="P260" s="15" t="n">
        <v>0</v>
      </c>
      <c r="Q260" s="12" t="n">
        <v>0</v>
      </c>
      <c r="R260" s="12" t="n">
        <v>0</v>
      </c>
      <c r="S260" s="15">
        <f>H260+Q260-R260</f>
        <v/>
      </c>
      <c r="T260" s="12" t="n">
        <v>14</v>
      </c>
      <c r="U260" s="12" t="n">
        <v>7</v>
      </c>
      <c r="V260" s="12" t="n">
        <v>7</v>
      </c>
      <c r="W260" s="16">
        <f>K260*(T260+U260)</f>
        <v/>
      </c>
      <c r="X260" s="16">
        <f>K260*(T260+U260+V260)</f>
        <v/>
      </c>
      <c r="Y260" s="16">
        <f>IF(K260&gt;0,H260/K260,99999)</f>
        <v/>
      </c>
      <c r="Z260" s="14">
        <f>IF(AND(OR(L260&gt;=1,M260&lt;0.95),Y260&gt;120),"DATA CONFLICT - VERIFY",IF(OR(L260&gt;=1,M260&lt;0.95,Y260&lt;=14),"SERVICE / STOCKOUT REVIEW",IF(Y260&gt;120,"OVERSTOCK REVIEW",IF(S260&lt;=W260,"REPLENISHMENT REVIEW","NORMAL MONITORING"))))</f>
        <v/>
      </c>
      <c r="AA260" s="15">
        <f>IF(OR(Z260="DATA CONFLICT - VERIFY",Z260="SERVICE / STOCKOUT REVIEW"),0,IF(S260&lt;=W260,MAX(0,ROUNDUP(X260-S260,0)),0))</f>
        <v/>
      </c>
      <c r="AB260" s="14">
        <f>IF(Z260="DATA CONFLICT - VERIFY","P1 - DATA CONFLICT",IF(Z260="SERVICE / STOCKOUT REVIEW","P1 - SERVICE",IF(Z260="OVERSTOCK REVIEW","P2 - OVERSTOCK",IF(Z260="REPLENISHMENT REVIEW","P2 - REPLENISH","P3 - MONITOR"))))</f>
        <v/>
      </c>
      <c r="AC260" s="16" t="n">
        <v>8412.978526645767</v>
      </c>
      <c r="AD260" s="16" t="n">
        <v>7352.101934435736</v>
      </c>
      <c r="AE260" s="16">
        <f>IF(OR(AD260="",H260=""),"",H260*AD260)</f>
        <v/>
      </c>
    </row>
    <row r="261">
      <c r="A261" s="7" t="inlineStr">
        <is>
          <t>2022-12-31</t>
        </is>
      </c>
      <c r="B261" s="7" t="n">
        <v>362</v>
      </c>
      <c r="C261" s="8" t="inlineStr">
        <is>
          <t>LotusWear UE-83</t>
        </is>
      </c>
      <c r="D261" s="8" t="inlineStr">
        <is>
          <t>Streetwear</t>
        </is>
      </c>
      <c r="E261" s="7" t="inlineStr">
        <is>
          <t>Performance</t>
        </is>
      </c>
      <c r="F261" s="7" t="inlineStr">
        <is>
          <t>L</t>
        </is>
      </c>
      <c r="G261" s="7" t="inlineStr">
        <is>
          <t>orange</t>
        </is>
      </c>
      <c r="H261" s="9" t="n">
        <v>50</v>
      </c>
      <c r="I261" s="9" t="n">
        <v>5</v>
      </c>
      <c r="J261" s="10" t="n">
        <v>6.333333333333333</v>
      </c>
      <c r="K261" s="10">
        <f>IFERROR(J261/30,0)</f>
        <v/>
      </c>
      <c r="L261" s="9" t="n">
        <v>1</v>
      </c>
      <c r="M261" s="11" t="n">
        <v>0.9667</v>
      </c>
      <c r="N261" s="9" t="n">
        <v>1</v>
      </c>
      <c r="O261" s="9" t="n">
        <v>1</v>
      </c>
      <c r="P261" s="9" t="n">
        <v>0</v>
      </c>
      <c r="Q261" s="12" t="n">
        <v>0</v>
      </c>
      <c r="R261" s="12" t="n">
        <v>0</v>
      </c>
      <c r="S261" s="9">
        <f>H261+Q261-R261</f>
        <v/>
      </c>
      <c r="T261" s="12" t="n">
        <v>14</v>
      </c>
      <c r="U261" s="12" t="n">
        <v>7</v>
      </c>
      <c r="V261" s="12" t="n">
        <v>7</v>
      </c>
      <c r="W261" s="10">
        <f>K261*(T261+U261)</f>
        <v/>
      </c>
      <c r="X261" s="10">
        <f>K261*(T261+U261+V261)</f>
        <v/>
      </c>
      <c r="Y261" s="10">
        <f>IF(K261&gt;0,H261/K261,99999)</f>
        <v/>
      </c>
      <c r="Z261" s="8">
        <f>IF(AND(OR(L261&gt;=1,M261&lt;0.95),Y261&gt;120),"DATA CONFLICT - VERIFY",IF(OR(L261&gt;=1,M261&lt;0.95,Y261&lt;=14),"SERVICE / STOCKOUT REVIEW",IF(Y261&gt;120,"OVERSTOCK REVIEW",IF(S261&lt;=W261,"REPLENISHMENT REVIEW","NORMAL MONITORING"))))</f>
        <v/>
      </c>
      <c r="AA261" s="9">
        <f>IF(OR(Z261="DATA CONFLICT - VERIFY",Z261="SERVICE / STOCKOUT REVIEW"),0,IF(S261&lt;=W261,MAX(0,ROUNDUP(X261-S261,0)),0))</f>
        <v/>
      </c>
      <c r="AB261" s="8">
        <f>IF(Z261="DATA CONFLICT - VERIFY","P1 - DATA CONFLICT",IF(Z261="SERVICE / STOCKOUT REVIEW","P1 - SERVICE",IF(Z261="OVERSTOCK REVIEW","P2 - OVERSTOCK",IF(Z261="REPLENISHMENT REVIEW","P2 - REPLENISH","P3 - MONITOR"))))</f>
        <v/>
      </c>
      <c r="AC261" s="10" t="n">
        <v>8816.85</v>
      </c>
      <c r="AD261" s="10" t="n">
        <v>4773.442590000001</v>
      </c>
      <c r="AE261" s="10">
        <f>IF(OR(AD261="",H261=""),"",H261*AD261)</f>
        <v/>
      </c>
    </row>
    <row r="262">
      <c r="A262" s="13" t="inlineStr">
        <is>
          <t>2022-12-31</t>
        </is>
      </c>
      <c r="B262" s="13" t="n">
        <v>366</v>
      </c>
      <c r="C262" s="14" t="inlineStr">
        <is>
          <t>LotusWear UE-87</t>
        </is>
      </c>
      <c r="D262" s="14" t="inlineStr">
        <is>
          <t>Streetwear</t>
        </is>
      </c>
      <c r="E262" s="13" t="inlineStr">
        <is>
          <t>Performance</t>
        </is>
      </c>
      <c r="F262" s="13" t="inlineStr">
        <is>
          <t>L</t>
        </is>
      </c>
      <c r="G262" s="13" t="inlineStr">
        <is>
          <t>green</t>
        </is>
      </c>
      <c r="H262" s="15" t="n">
        <v>4</v>
      </c>
      <c r="I262" s="15" t="n">
        <v>1</v>
      </c>
      <c r="J262" s="16" t="n">
        <v>2</v>
      </c>
      <c r="K262" s="16">
        <f>IFERROR(J262/30,0)</f>
        <v/>
      </c>
      <c r="L262" s="15" t="n">
        <v>2</v>
      </c>
      <c r="M262" s="17" t="n">
        <v>0.9333</v>
      </c>
      <c r="N262" s="15" t="n">
        <v>1</v>
      </c>
      <c r="O262" s="15" t="n">
        <v>1</v>
      </c>
      <c r="P262" s="15" t="n">
        <v>0</v>
      </c>
      <c r="Q262" s="12" t="n">
        <v>0</v>
      </c>
      <c r="R262" s="12" t="n">
        <v>0</v>
      </c>
      <c r="S262" s="15">
        <f>H262+Q262-R262</f>
        <v/>
      </c>
      <c r="T262" s="12" t="n">
        <v>14</v>
      </c>
      <c r="U262" s="12" t="n">
        <v>7</v>
      </c>
      <c r="V262" s="12" t="n">
        <v>7</v>
      </c>
      <c r="W262" s="16">
        <f>K262*(T262+U262)</f>
        <v/>
      </c>
      <c r="X262" s="16">
        <f>K262*(T262+U262+V262)</f>
        <v/>
      </c>
      <c r="Y262" s="16">
        <f>IF(K262&gt;0,H262/K262,99999)</f>
        <v/>
      </c>
      <c r="Z262" s="14">
        <f>IF(AND(OR(L262&gt;=1,M262&lt;0.95),Y262&gt;120),"DATA CONFLICT - VERIFY",IF(OR(L262&gt;=1,M262&lt;0.95,Y262&lt;=14),"SERVICE / STOCKOUT REVIEW",IF(Y262&gt;120,"OVERSTOCK REVIEW",IF(S262&lt;=W262,"REPLENISHMENT REVIEW","NORMAL MONITORING"))))</f>
        <v/>
      </c>
      <c r="AA262" s="15">
        <f>IF(OR(Z262="DATA CONFLICT - VERIFY",Z262="SERVICE / STOCKOUT REVIEW"),0,IF(S262&lt;=W262,MAX(0,ROUNDUP(X262-S262,0)),0))</f>
        <v/>
      </c>
      <c r="AB262" s="14">
        <f>IF(Z262="DATA CONFLICT - VERIFY","P1 - DATA CONFLICT",IF(Z262="SERVICE / STOCKOUT REVIEW","P1 - SERVICE",IF(Z262="OVERSTOCK REVIEW","P2 - OVERSTOCK",IF(Z262="REPLENISHMENT REVIEW","P2 - REPLENISH","P3 - MONITOR"))))</f>
        <v/>
      </c>
      <c r="AC262" s="16" t="n">
        <v>9131.85</v>
      </c>
      <c r="AD262" s="16" t="n">
        <v>6334.764345</v>
      </c>
      <c r="AE262" s="16">
        <f>IF(OR(AD262="",H262=""),"",H262*AD262)</f>
        <v/>
      </c>
    </row>
    <row r="263">
      <c r="A263" s="7" t="inlineStr">
        <is>
          <t>2022-12-31</t>
        </is>
      </c>
      <c r="B263" s="7" t="n">
        <v>369</v>
      </c>
      <c r="C263" s="8" t="inlineStr">
        <is>
          <t>LotusWear UE-90</t>
        </is>
      </c>
      <c r="D263" s="8" t="inlineStr">
        <is>
          <t>Streetwear</t>
        </is>
      </c>
      <c r="E263" s="7" t="inlineStr">
        <is>
          <t>Performance</t>
        </is>
      </c>
      <c r="F263" s="7" t="inlineStr">
        <is>
          <t>M</t>
        </is>
      </c>
      <c r="G263" s="7" t="inlineStr">
        <is>
          <t>yellow</t>
        </is>
      </c>
      <c r="H263" s="9" t="n">
        <v>4</v>
      </c>
      <c r="I263" s="9" t="n">
        <v>2</v>
      </c>
      <c r="J263" s="10" t="n">
        <v>1.333333333333333</v>
      </c>
      <c r="K263" s="10">
        <f>IFERROR(J263/30,0)</f>
        <v/>
      </c>
      <c r="L263" s="9" t="n">
        <v>0</v>
      </c>
      <c r="M263" s="11" t="n">
        <v>1</v>
      </c>
      <c r="N263" s="9" t="n">
        <v>0</v>
      </c>
      <c r="O263" s="9" t="n">
        <v>0</v>
      </c>
      <c r="P263" s="9" t="n">
        <v>0</v>
      </c>
      <c r="Q263" s="12" t="n">
        <v>0</v>
      </c>
      <c r="R263" s="12" t="n">
        <v>0</v>
      </c>
      <c r="S263" s="9">
        <f>H263+Q263-R263</f>
        <v/>
      </c>
      <c r="T263" s="12" t="n">
        <v>14</v>
      </c>
      <c r="U263" s="12" t="n">
        <v>7</v>
      </c>
      <c r="V263" s="12" t="n">
        <v>7</v>
      </c>
      <c r="W263" s="10">
        <f>K263*(T263+U263)</f>
        <v/>
      </c>
      <c r="X263" s="10">
        <f>K263*(T263+U263+V263)</f>
        <v/>
      </c>
      <c r="Y263" s="10">
        <f>IF(K263&gt;0,H263/K263,99999)</f>
        <v/>
      </c>
      <c r="Z263" s="8">
        <f>IF(AND(OR(L263&gt;=1,M263&lt;0.95),Y263&gt;120),"DATA CONFLICT - VERIFY",IF(OR(L263&gt;=1,M263&lt;0.95,Y263&lt;=14),"SERVICE / STOCKOUT REVIEW",IF(Y263&gt;120,"OVERSTOCK REVIEW",IF(S263&lt;=W263,"REPLENISHMENT REVIEW","NORMAL MONITORING"))))</f>
        <v/>
      </c>
      <c r="AA263" s="9">
        <f>IF(OR(Z263="DATA CONFLICT - VERIFY",Z263="SERVICE / STOCKOUT REVIEW"),0,IF(S263&lt;=W263,MAX(0,ROUNDUP(X263-S263,0)),0))</f>
        <v/>
      </c>
      <c r="AB263" s="8">
        <f>IF(Z263="DATA CONFLICT - VERIFY","P1 - DATA CONFLICT",IF(Z263="SERVICE / STOCKOUT REVIEW","P1 - SERVICE",IF(Z263="OVERSTOCK REVIEW","P2 - OVERSTOCK",IF(Z263="REPLENISHMENT REVIEW","P2 - REPLENISH","P3 - MONITOR"))))</f>
        <v/>
      </c>
      <c r="AC263" s="10" t="n">
        <v>10489.21363636364</v>
      </c>
      <c r="AD263" s="10" t="n">
        <v>9695.180164090909</v>
      </c>
      <c r="AE263" s="10">
        <f>IF(OR(AD263="",H263=""),"",H263*AD263)</f>
        <v/>
      </c>
    </row>
    <row r="264">
      <c r="A264" s="13" t="inlineStr">
        <is>
          <t>2022-12-31</t>
        </is>
      </c>
      <c r="B264" s="13" t="n">
        <v>387</v>
      </c>
      <c r="C264" s="14" t="inlineStr">
        <is>
          <t>LotusWear UC-01</t>
        </is>
      </c>
      <c r="D264" s="14" t="inlineStr">
        <is>
          <t>Streetwear</t>
        </is>
      </c>
      <c r="E264" s="13" t="inlineStr">
        <is>
          <t>Everyday</t>
        </is>
      </c>
      <c r="F264" s="13" t="inlineStr">
        <is>
          <t>XL</t>
        </is>
      </c>
      <c r="G264" s="13" t="inlineStr">
        <is>
          <t>silver</t>
        </is>
      </c>
      <c r="H264" s="15" t="n">
        <v>6</v>
      </c>
      <c r="I264" s="15" t="n">
        <v>1</v>
      </c>
      <c r="J264" s="16" t="n">
        <v>1.333333333333333</v>
      </c>
      <c r="K264" s="16">
        <f>IFERROR(J264/30,0)</f>
        <v/>
      </c>
      <c r="L264" s="15" t="n">
        <v>2</v>
      </c>
      <c r="M264" s="17" t="n">
        <v>0.9333</v>
      </c>
      <c r="N264" s="15" t="n">
        <v>1</v>
      </c>
      <c r="O264" s="15" t="n">
        <v>1</v>
      </c>
      <c r="P264" s="15" t="n">
        <v>0</v>
      </c>
      <c r="Q264" s="12" t="n">
        <v>0</v>
      </c>
      <c r="R264" s="12" t="n">
        <v>0</v>
      </c>
      <c r="S264" s="15">
        <f>H264+Q264-R264</f>
        <v/>
      </c>
      <c r="T264" s="12" t="n">
        <v>14</v>
      </c>
      <c r="U264" s="12" t="n">
        <v>7</v>
      </c>
      <c r="V264" s="12" t="n">
        <v>7</v>
      </c>
      <c r="W264" s="16">
        <f>K264*(T264+U264)</f>
        <v/>
      </c>
      <c r="X264" s="16">
        <f>K264*(T264+U264+V264)</f>
        <v/>
      </c>
      <c r="Y264" s="16">
        <f>IF(K264&gt;0,H264/K264,99999)</f>
        <v/>
      </c>
      <c r="Z264" s="14">
        <f>IF(AND(OR(L264&gt;=1,M264&lt;0.95),Y264&gt;120),"DATA CONFLICT - VERIFY",IF(OR(L264&gt;=1,M264&lt;0.95,Y264&lt;=14),"SERVICE / STOCKOUT REVIEW",IF(Y264&gt;120,"OVERSTOCK REVIEW",IF(S264&lt;=W264,"REPLENISHMENT REVIEW","NORMAL MONITORING"))))</f>
        <v/>
      </c>
      <c r="AA264" s="15">
        <f>IF(OR(Z264="DATA CONFLICT - VERIFY",Z264="SERVICE / STOCKOUT REVIEW"),0,IF(S264&lt;=W264,MAX(0,ROUNDUP(X264-S264,0)),0))</f>
        <v/>
      </c>
      <c r="AB264" s="14">
        <f>IF(Z264="DATA CONFLICT - VERIFY","P1 - DATA CONFLICT",IF(Z264="SERVICE / STOCKOUT REVIEW","P1 - SERVICE",IF(Z264="OVERSTOCK REVIEW","P2 - OVERSTOCK",IF(Z264="REPLENISHMENT REVIEW","P2 - REPLENISH","P3 - MONITOR"))))</f>
        <v/>
      </c>
      <c r="AC264" s="16" t="n">
        <v>11966.85</v>
      </c>
      <c r="AD264" s="16" t="n">
        <v>11368.5075</v>
      </c>
      <c r="AE264" s="16">
        <f>IF(OR(AD264="",H264=""),"",H264*AD264)</f>
        <v/>
      </c>
    </row>
    <row r="265">
      <c r="A265" s="7" t="inlineStr">
        <is>
          <t>2022-12-31</t>
        </is>
      </c>
      <c r="B265" s="7" t="n">
        <v>389</v>
      </c>
      <c r="C265" s="8" t="inlineStr">
        <is>
          <t>LotusWear UC-03</t>
        </is>
      </c>
      <c r="D265" s="8" t="inlineStr">
        <is>
          <t>Streetwear</t>
        </is>
      </c>
      <c r="E265" s="7" t="inlineStr">
        <is>
          <t>Everyday</t>
        </is>
      </c>
      <c r="F265" s="7" t="inlineStr">
        <is>
          <t>M</t>
        </is>
      </c>
      <c r="G265" s="7" t="inlineStr">
        <is>
          <t>yellow</t>
        </is>
      </c>
      <c r="H265" s="9" t="n">
        <v>13</v>
      </c>
      <c r="I265" s="9" t="n">
        <v>3</v>
      </c>
      <c r="J265" s="10" t="n">
        <v>3.666666666666667</v>
      </c>
      <c r="K265" s="10">
        <f>IFERROR(J265/30,0)</f>
        <v/>
      </c>
      <c r="L265" s="9" t="n">
        <v>0</v>
      </c>
      <c r="M265" s="11" t="n">
        <v>1</v>
      </c>
      <c r="N265" s="9" t="n">
        <v>0</v>
      </c>
      <c r="O265" s="9" t="n">
        <v>1</v>
      </c>
      <c r="P265" s="9" t="n">
        <v>0</v>
      </c>
      <c r="Q265" s="12" t="n">
        <v>0</v>
      </c>
      <c r="R265" s="12" t="n">
        <v>0</v>
      </c>
      <c r="S265" s="9">
        <f>H265+Q265-R265</f>
        <v/>
      </c>
      <c r="T265" s="12" t="n">
        <v>14</v>
      </c>
      <c r="U265" s="12" t="n">
        <v>7</v>
      </c>
      <c r="V265" s="12" t="n">
        <v>7</v>
      </c>
      <c r="W265" s="10">
        <f>K265*(T265+U265)</f>
        <v/>
      </c>
      <c r="X265" s="10">
        <f>K265*(T265+U265+V265)</f>
        <v/>
      </c>
      <c r="Y265" s="10">
        <f>IF(K265&gt;0,H265/K265,99999)</f>
        <v/>
      </c>
      <c r="Z265" s="8">
        <f>IF(AND(OR(L265&gt;=1,M265&lt;0.95),Y265&gt;120),"DATA CONFLICT - VERIFY",IF(OR(L265&gt;=1,M265&lt;0.95,Y265&lt;=14),"SERVICE / STOCKOUT REVIEW",IF(Y265&gt;120,"OVERSTOCK REVIEW",IF(S265&lt;=W265,"REPLENISHMENT REVIEW","NORMAL MONITORING"))))</f>
        <v/>
      </c>
      <c r="AA265" s="9">
        <f>IF(OR(Z265="DATA CONFLICT - VERIFY",Z265="SERVICE / STOCKOUT REVIEW"),0,IF(S265&lt;=W265,MAX(0,ROUNDUP(X265-S265,0)),0))</f>
        <v/>
      </c>
      <c r="AB265" s="8">
        <f>IF(Z265="DATA CONFLICT - VERIFY","P1 - DATA CONFLICT",IF(Z265="SERVICE / STOCKOUT REVIEW","P1 - SERVICE",IF(Z265="OVERSTOCK REVIEW","P2 - OVERSTOCK",IF(Z265="REPLENISHMENT REVIEW","P2 - REPLENISH","P3 - MONITOR"))))</f>
        <v/>
      </c>
      <c r="AC265" s="10" t="n">
        <v>11063.05754716981</v>
      </c>
      <c r="AD265" s="10" t="n">
        <v>10102.78415207547</v>
      </c>
      <c r="AE265" s="10">
        <f>IF(OR(AD265="",H265=""),"",H265*AD265)</f>
        <v/>
      </c>
    </row>
    <row r="266">
      <c r="A266" s="13" t="inlineStr">
        <is>
          <t>2022-12-31</t>
        </is>
      </c>
      <c r="B266" s="13" t="n">
        <v>398</v>
      </c>
      <c r="C266" s="14" t="inlineStr">
        <is>
          <t>SaigonFlex UM-03</t>
        </is>
      </c>
      <c r="D266" s="14" t="inlineStr">
        <is>
          <t>Streetwear</t>
        </is>
      </c>
      <c r="E266" s="13" t="inlineStr">
        <is>
          <t>Balanced</t>
        </is>
      </c>
      <c r="F266" s="13" t="inlineStr">
        <is>
          <t>L</t>
        </is>
      </c>
      <c r="G266" s="13" t="inlineStr">
        <is>
          <t>pink</t>
        </is>
      </c>
      <c r="H266" s="15" t="n">
        <v>10</v>
      </c>
      <c r="I266" s="15" t="n">
        <v>6</v>
      </c>
      <c r="J266" s="16" t="n">
        <v>12.66666666666667</v>
      </c>
      <c r="K266" s="16">
        <f>IFERROR(J266/30,0)</f>
        <v/>
      </c>
      <c r="L266" s="15" t="n">
        <v>1</v>
      </c>
      <c r="M266" s="17" t="n">
        <v>0.9667</v>
      </c>
      <c r="N266" s="15" t="n">
        <v>1</v>
      </c>
      <c r="O266" s="15" t="n">
        <v>0</v>
      </c>
      <c r="P266" s="15" t="n">
        <v>0</v>
      </c>
      <c r="Q266" s="12" t="n">
        <v>0</v>
      </c>
      <c r="R266" s="12" t="n">
        <v>0</v>
      </c>
      <c r="S266" s="15">
        <f>H266+Q266-R266</f>
        <v/>
      </c>
      <c r="T266" s="12" t="n">
        <v>14</v>
      </c>
      <c r="U266" s="12" t="n">
        <v>7</v>
      </c>
      <c r="V266" s="12" t="n">
        <v>7</v>
      </c>
      <c r="W266" s="16">
        <f>K266*(T266+U266)</f>
        <v/>
      </c>
      <c r="X266" s="16">
        <f>K266*(T266+U266+V266)</f>
        <v/>
      </c>
      <c r="Y266" s="16">
        <f>IF(K266&gt;0,H266/K266,99999)</f>
        <v/>
      </c>
      <c r="Z266" s="14">
        <f>IF(AND(OR(L266&gt;=1,M266&lt;0.95),Y266&gt;120),"DATA CONFLICT - VERIFY",IF(OR(L266&gt;=1,M266&lt;0.95,Y266&lt;=14),"SERVICE / STOCKOUT REVIEW",IF(Y266&gt;120,"OVERSTOCK REVIEW",IF(S266&lt;=W266,"REPLENISHMENT REVIEW","NORMAL MONITORING"))))</f>
        <v/>
      </c>
      <c r="AA266" s="15">
        <f>IF(OR(Z266="DATA CONFLICT - VERIFY",Z266="SERVICE / STOCKOUT REVIEW"),0,IF(S266&lt;=W266,MAX(0,ROUNDUP(X266-S266,0)),0))</f>
        <v/>
      </c>
      <c r="AB266" s="14">
        <f>IF(Z266="DATA CONFLICT - VERIFY","P1 - DATA CONFLICT",IF(Z266="SERVICE / STOCKOUT REVIEW","P1 - SERVICE",IF(Z266="OVERSTOCK REVIEW","P2 - OVERSTOCK",IF(Z266="REPLENISHMENT REVIEW","P2 - REPLENISH","P3 - MONITOR"))))</f>
        <v/>
      </c>
      <c r="AC266" s="16" t="n">
        <v>18902.07967741935</v>
      </c>
      <c r="AD266" s="16" t="n">
        <v>15269.09996341935</v>
      </c>
      <c r="AE266" s="16">
        <f>IF(OR(AD266="",H266=""),"",H266*AD266)</f>
        <v/>
      </c>
    </row>
    <row r="267">
      <c r="A267" s="7" t="inlineStr">
        <is>
          <t>2022-12-31</t>
        </is>
      </c>
      <c r="B267" s="7" t="n">
        <v>402</v>
      </c>
      <c r="C267" s="8" t="inlineStr">
        <is>
          <t>SaigonFlex UM-07</t>
        </is>
      </c>
      <c r="D267" s="8" t="inlineStr">
        <is>
          <t>Streetwear</t>
        </is>
      </c>
      <c r="E267" s="7" t="inlineStr">
        <is>
          <t>Balanced</t>
        </is>
      </c>
      <c r="F267" s="7" t="inlineStr">
        <is>
          <t>L</t>
        </is>
      </c>
      <c r="G267" s="7" t="inlineStr">
        <is>
          <t>orange</t>
        </is>
      </c>
      <c r="H267" s="9" t="n">
        <v>75</v>
      </c>
      <c r="I267" s="9" t="n">
        <v>17</v>
      </c>
      <c r="J267" s="10" t="n">
        <v>14.66666666666667</v>
      </c>
      <c r="K267" s="10">
        <f>IFERROR(J267/30,0)</f>
        <v/>
      </c>
      <c r="L267" s="9" t="n">
        <v>2</v>
      </c>
      <c r="M267" s="11" t="n">
        <v>0.9333</v>
      </c>
      <c r="N267" s="9" t="n">
        <v>1</v>
      </c>
      <c r="O267" s="9" t="n">
        <v>1</v>
      </c>
      <c r="P267" s="9" t="n">
        <v>0</v>
      </c>
      <c r="Q267" s="12" t="n">
        <v>0</v>
      </c>
      <c r="R267" s="12" t="n">
        <v>0</v>
      </c>
      <c r="S267" s="9">
        <f>H267+Q267-R267</f>
        <v/>
      </c>
      <c r="T267" s="12" t="n">
        <v>14</v>
      </c>
      <c r="U267" s="12" t="n">
        <v>7</v>
      </c>
      <c r="V267" s="12" t="n">
        <v>7</v>
      </c>
      <c r="W267" s="10">
        <f>K267*(T267+U267)</f>
        <v/>
      </c>
      <c r="X267" s="10">
        <f>K267*(T267+U267+V267)</f>
        <v/>
      </c>
      <c r="Y267" s="10">
        <f>IF(K267&gt;0,H267/K267,99999)</f>
        <v/>
      </c>
      <c r="Z267" s="8">
        <f>IF(AND(OR(L267&gt;=1,M267&lt;0.95),Y267&gt;120),"DATA CONFLICT - VERIFY",IF(OR(L267&gt;=1,M267&lt;0.95,Y267&lt;=14),"SERVICE / STOCKOUT REVIEW",IF(Y267&gt;120,"OVERSTOCK REVIEW",IF(S267&lt;=W267,"REPLENISHMENT REVIEW","NORMAL MONITORING"))))</f>
        <v/>
      </c>
      <c r="AA267" s="9">
        <f>IF(OR(Z267="DATA CONFLICT - VERIFY",Z267="SERVICE / STOCKOUT REVIEW"),0,IF(S267&lt;=W267,MAX(0,ROUNDUP(X267-S267,0)),0))</f>
        <v/>
      </c>
      <c r="AB267" s="8">
        <f>IF(Z267="DATA CONFLICT - VERIFY","P1 - DATA CONFLICT",IF(Z267="SERVICE / STOCKOUT REVIEW","P1 - SERVICE",IF(Z267="OVERSTOCK REVIEW","P2 - OVERSTOCK",IF(Z267="REPLENISHMENT REVIEW","P2 - REPLENISH","P3 - MONITOR"))))</f>
        <v/>
      </c>
      <c r="AC267" s="10" t="n">
        <v>12352.39816901409</v>
      </c>
      <c r="AD267" s="10" t="n">
        <v>11202.38989947887</v>
      </c>
      <c r="AE267" s="10">
        <f>IF(OR(AD267="",H267=""),"",H267*AD267)</f>
        <v/>
      </c>
    </row>
    <row r="268">
      <c r="A268" s="13" t="inlineStr">
        <is>
          <t>2022-12-31</t>
        </is>
      </c>
      <c r="B268" s="13" t="n">
        <v>403</v>
      </c>
      <c r="C268" s="14" t="inlineStr">
        <is>
          <t>SaigonFlex UM-08</t>
        </is>
      </c>
      <c r="D268" s="14" t="inlineStr">
        <is>
          <t>Streetwear</t>
        </is>
      </c>
      <c r="E268" s="13" t="inlineStr">
        <is>
          <t>Balanced</t>
        </is>
      </c>
      <c r="F268" s="13" t="inlineStr">
        <is>
          <t>XL</t>
        </is>
      </c>
      <c r="G268" s="13" t="inlineStr">
        <is>
          <t>blue</t>
        </is>
      </c>
      <c r="H268" s="15" t="n">
        <v>17</v>
      </c>
      <c r="I268" s="15" t="n">
        <v>4</v>
      </c>
      <c r="J268" s="16" t="n">
        <v>3.333333333333333</v>
      </c>
      <c r="K268" s="16">
        <f>IFERROR(J268/30,0)</f>
        <v/>
      </c>
      <c r="L268" s="15" t="n">
        <v>1</v>
      </c>
      <c r="M268" s="17" t="n">
        <v>0.9667</v>
      </c>
      <c r="N268" s="15" t="n">
        <v>1</v>
      </c>
      <c r="O268" s="15" t="n">
        <v>1</v>
      </c>
      <c r="P268" s="15" t="n">
        <v>0</v>
      </c>
      <c r="Q268" s="12" t="n">
        <v>0</v>
      </c>
      <c r="R268" s="12" t="n">
        <v>0</v>
      </c>
      <c r="S268" s="15">
        <f>H268+Q268-R268</f>
        <v/>
      </c>
      <c r="T268" s="12" t="n">
        <v>14</v>
      </c>
      <c r="U268" s="12" t="n">
        <v>7</v>
      </c>
      <c r="V268" s="12" t="n">
        <v>7</v>
      </c>
      <c r="W268" s="16">
        <f>K268*(T268+U268)</f>
        <v/>
      </c>
      <c r="X268" s="16">
        <f>K268*(T268+U268+V268)</f>
        <v/>
      </c>
      <c r="Y268" s="16">
        <f>IF(K268&gt;0,H268/K268,99999)</f>
        <v/>
      </c>
      <c r="Z268" s="14">
        <f>IF(AND(OR(L268&gt;=1,M268&lt;0.95),Y268&gt;120),"DATA CONFLICT - VERIFY",IF(OR(L268&gt;=1,M268&lt;0.95,Y268&lt;=14),"SERVICE / STOCKOUT REVIEW",IF(Y268&gt;120,"OVERSTOCK REVIEW",IF(S268&lt;=W268,"REPLENISHMENT REVIEW","NORMAL MONITORING"))))</f>
        <v/>
      </c>
      <c r="AA268" s="15">
        <f>IF(OR(Z268="DATA CONFLICT - VERIFY",Z268="SERVICE / STOCKOUT REVIEW"),0,IF(S268&lt;=W268,MAX(0,ROUNDUP(X268-S268,0)),0))</f>
        <v/>
      </c>
      <c r="AB268" s="14">
        <f>IF(Z268="DATA CONFLICT - VERIFY","P1 - DATA CONFLICT",IF(Z268="SERVICE / STOCKOUT REVIEW","P1 - SERVICE",IF(Z268="OVERSTOCK REVIEW","P2 - OVERSTOCK",IF(Z268="REPLENISHMENT REVIEW","P2 - REPLENISH","P3 - MONITOR"))))</f>
        <v/>
      </c>
      <c r="AC268" s="16" t="n">
        <v>13752.81</v>
      </c>
      <c r="AD268" s="16" t="n">
        <v>7730.454500999999</v>
      </c>
      <c r="AE268" s="16">
        <f>IF(OR(AD268="",H268=""),"",H268*AD268)</f>
        <v/>
      </c>
    </row>
    <row r="269">
      <c r="A269" s="7" t="inlineStr">
        <is>
          <t>2022-12-31</t>
        </is>
      </c>
      <c r="B269" s="7" t="n">
        <v>407</v>
      </c>
      <c r="C269" s="8" t="inlineStr">
        <is>
          <t>SaigonFlex UM-12</t>
        </is>
      </c>
      <c r="D269" s="8" t="inlineStr">
        <is>
          <t>Streetwear</t>
        </is>
      </c>
      <c r="E269" s="7" t="inlineStr">
        <is>
          <t>Balanced</t>
        </is>
      </c>
      <c r="F269" s="7" t="inlineStr">
        <is>
          <t>XL</t>
        </is>
      </c>
      <c r="G269" s="7" t="inlineStr">
        <is>
          <t>silver</t>
        </is>
      </c>
      <c r="H269" s="9" t="n">
        <v>391</v>
      </c>
      <c r="I269" s="9" t="n">
        <v>27</v>
      </c>
      <c r="J269" s="10" t="n">
        <v>28</v>
      </c>
      <c r="K269" s="10">
        <f>IFERROR(J269/30,0)</f>
        <v/>
      </c>
      <c r="L269" s="9" t="n">
        <v>0</v>
      </c>
      <c r="M269" s="11" t="n">
        <v>1</v>
      </c>
      <c r="N269" s="9" t="n">
        <v>0</v>
      </c>
      <c r="O269" s="9" t="n">
        <v>1</v>
      </c>
      <c r="P269" s="9" t="n">
        <v>0</v>
      </c>
      <c r="Q269" s="12" t="n">
        <v>0</v>
      </c>
      <c r="R269" s="12" t="n">
        <v>0</v>
      </c>
      <c r="S269" s="9">
        <f>H269+Q269-R269</f>
        <v/>
      </c>
      <c r="T269" s="12" t="n">
        <v>14</v>
      </c>
      <c r="U269" s="12" t="n">
        <v>7</v>
      </c>
      <c r="V269" s="12" t="n">
        <v>7</v>
      </c>
      <c r="W269" s="10">
        <f>K269*(T269+U269)</f>
        <v/>
      </c>
      <c r="X269" s="10">
        <f>K269*(T269+U269+V269)</f>
        <v/>
      </c>
      <c r="Y269" s="10">
        <f>IF(K269&gt;0,H269/K269,99999)</f>
        <v/>
      </c>
      <c r="Z269" s="8">
        <f>IF(AND(OR(L269&gt;=1,M269&lt;0.95),Y269&gt;120),"DATA CONFLICT - VERIFY",IF(OR(L269&gt;=1,M269&lt;0.95,Y269&lt;=14),"SERVICE / STOCKOUT REVIEW",IF(Y269&gt;120,"OVERSTOCK REVIEW",IF(S269&lt;=W269,"REPLENISHMENT REVIEW","NORMAL MONITORING"))))</f>
        <v/>
      </c>
      <c r="AA269" s="9">
        <f>IF(OR(Z269="DATA CONFLICT - VERIFY",Z269="SERVICE / STOCKOUT REVIEW"),0,IF(S269&lt;=W269,MAX(0,ROUNDUP(X269-S269,0)),0))</f>
        <v/>
      </c>
      <c r="AB269" s="8">
        <f>IF(Z269="DATA CONFLICT - VERIFY","P1 - DATA CONFLICT",IF(Z269="SERVICE / STOCKOUT REVIEW","P1 - SERVICE",IF(Z269="OVERSTOCK REVIEW","P2 - OVERSTOCK",IF(Z269="REPLENISHMENT REVIEW","P2 - REPLENISH","P3 - MONITOR"))))</f>
        <v/>
      </c>
      <c r="AC269" s="10" t="n">
        <v>19779.22981322719</v>
      </c>
      <c r="AD269" s="10" t="n">
        <v>18790.26832256583</v>
      </c>
      <c r="AE269" s="10">
        <f>IF(OR(AD269="",H269=""),"",H269*AD269)</f>
        <v/>
      </c>
    </row>
    <row r="270">
      <c r="A270" s="13" t="inlineStr">
        <is>
          <t>2022-12-31</t>
        </is>
      </c>
      <c r="B270" s="13" t="n">
        <v>408</v>
      </c>
      <c r="C270" s="14" t="inlineStr">
        <is>
          <t>SaigonFlex UM-13</t>
        </is>
      </c>
      <c r="D270" s="14" t="inlineStr">
        <is>
          <t>Streetwear</t>
        </is>
      </c>
      <c r="E270" s="13" t="inlineStr">
        <is>
          <t>Balanced</t>
        </is>
      </c>
      <c r="F270" s="13" t="inlineStr">
        <is>
          <t>S</t>
        </is>
      </c>
      <c r="G270" s="13" t="inlineStr">
        <is>
          <t>pink</t>
        </is>
      </c>
      <c r="H270" s="15" t="n">
        <v>43</v>
      </c>
      <c r="I270" s="15" t="n">
        <v>26</v>
      </c>
      <c r="J270" s="16" t="n">
        <v>24.33333333333333</v>
      </c>
      <c r="K270" s="16">
        <f>IFERROR(J270/30,0)</f>
        <v/>
      </c>
      <c r="L270" s="15" t="n">
        <v>1</v>
      </c>
      <c r="M270" s="17" t="n">
        <v>0.9667</v>
      </c>
      <c r="N270" s="15" t="n">
        <v>1</v>
      </c>
      <c r="O270" s="15" t="n">
        <v>0</v>
      </c>
      <c r="P270" s="15" t="n">
        <v>0</v>
      </c>
      <c r="Q270" s="12" t="n">
        <v>0</v>
      </c>
      <c r="R270" s="12" t="n">
        <v>0</v>
      </c>
      <c r="S270" s="15">
        <f>H270+Q270-R270</f>
        <v/>
      </c>
      <c r="T270" s="12" t="n">
        <v>14</v>
      </c>
      <c r="U270" s="12" t="n">
        <v>7</v>
      </c>
      <c r="V270" s="12" t="n">
        <v>7</v>
      </c>
      <c r="W270" s="16">
        <f>K270*(T270+U270)</f>
        <v/>
      </c>
      <c r="X270" s="16">
        <f>K270*(T270+U270+V270)</f>
        <v/>
      </c>
      <c r="Y270" s="16">
        <f>IF(K270&gt;0,H270/K270,99999)</f>
        <v/>
      </c>
      <c r="Z270" s="14">
        <f>IF(AND(OR(L270&gt;=1,M270&lt;0.95),Y270&gt;120),"DATA CONFLICT - VERIFY",IF(OR(L270&gt;=1,M270&lt;0.95,Y270&lt;=14),"SERVICE / STOCKOUT REVIEW",IF(Y270&gt;120,"OVERSTOCK REVIEW",IF(S270&lt;=W270,"REPLENISHMENT REVIEW","NORMAL MONITORING"))))</f>
        <v/>
      </c>
      <c r="AA270" s="15">
        <f>IF(OR(Z270="DATA CONFLICT - VERIFY",Z270="SERVICE / STOCKOUT REVIEW"),0,IF(S270&lt;=W270,MAX(0,ROUNDUP(X270-S270,0)),0))</f>
        <v/>
      </c>
      <c r="AB270" s="14">
        <f>IF(Z270="DATA CONFLICT - VERIFY","P1 - DATA CONFLICT",IF(Z270="SERVICE / STOCKOUT REVIEW","P1 - SERVICE",IF(Z270="OVERSTOCK REVIEW","P2 - OVERSTOCK",IF(Z270="REPLENISHMENT REVIEW","P2 - REPLENISH","P3 - MONITOR"))))</f>
        <v/>
      </c>
      <c r="AC270" s="16" t="n">
        <v>16386.06767441861</v>
      </c>
      <c r="AD270" s="16" t="n">
        <v>15566.76429069767</v>
      </c>
      <c r="AE270" s="16">
        <f>IF(OR(AD270="",H270=""),"",H270*AD270)</f>
        <v/>
      </c>
    </row>
    <row r="271">
      <c r="A271" s="7" t="inlineStr">
        <is>
          <t>2022-12-31</t>
        </is>
      </c>
      <c r="B271" s="7" t="n">
        <v>415</v>
      </c>
      <c r="C271" s="8" t="inlineStr">
        <is>
          <t>SaigonFlex UM-20</t>
        </is>
      </c>
      <c r="D271" s="8" t="inlineStr">
        <is>
          <t>Streetwear</t>
        </is>
      </c>
      <c r="E271" s="7" t="inlineStr">
        <is>
          <t>Balanced</t>
        </is>
      </c>
      <c r="F271" s="7" t="inlineStr">
        <is>
          <t>XL</t>
        </is>
      </c>
      <c r="G271" s="7" t="inlineStr">
        <is>
          <t>purple</t>
        </is>
      </c>
      <c r="H271" s="9" t="n">
        <v>180</v>
      </c>
      <c r="I271" s="9" t="n">
        <v>4</v>
      </c>
      <c r="J271" s="10" t="n">
        <v>9</v>
      </c>
      <c r="K271" s="10">
        <f>IFERROR(J271/30,0)</f>
        <v/>
      </c>
      <c r="L271" s="9" t="n">
        <v>2</v>
      </c>
      <c r="M271" s="11" t="n">
        <v>0.9333</v>
      </c>
      <c r="N271" s="9" t="n">
        <v>1</v>
      </c>
      <c r="O271" s="9" t="n">
        <v>1</v>
      </c>
      <c r="P271" s="9" t="n">
        <v>0</v>
      </c>
      <c r="Q271" s="12" t="n">
        <v>0</v>
      </c>
      <c r="R271" s="12" t="n">
        <v>0</v>
      </c>
      <c r="S271" s="9">
        <f>H271+Q271-R271</f>
        <v/>
      </c>
      <c r="T271" s="12" t="n">
        <v>14</v>
      </c>
      <c r="U271" s="12" t="n">
        <v>7</v>
      </c>
      <c r="V271" s="12" t="n">
        <v>7</v>
      </c>
      <c r="W271" s="10">
        <f>K271*(T271+U271)</f>
        <v/>
      </c>
      <c r="X271" s="10">
        <f>K271*(T271+U271+V271)</f>
        <v/>
      </c>
      <c r="Y271" s="10">
        <f>IF(K271&gt;0,H271/K271,99999)</f>
        <v/>
      </c>
      <c r="Z271" s="8">
        <f>IF(AND(OR(L271&gt;=1,M271&lt;0.95),Y271&gt;120),"DATA CONFLICT - VERIFY",IF(OR(L271&gt;=1,M271&lt;0.95,Y271&lt;=14),"SERVICE / STOCKOUT REVIEW",IF(Y271&gt;120,"OVERSTOCK REVIEW",IF(S271&lt;=W271,"REPLENISHMENT REVIEW","NORMAL MONITORING"))))</f>
        <v/>
      </c>
      <c r="AA271" s="9">
        <f>IF(OR(Z271="DATA CONFLICT - VERIFY",Z271="SERVICE / STOCKOUT REVIEW"),0,IF(S271&lt;=W271,MAX(0,ROUNDUP(X271-S271,0)),0))</f>
        <v/>
      </c>
      <c r="AB271" s="8">
        <f>IF(Z271="DATA CONFLICT - VERIFY","P1 - DATA CONFLICT",IF(Z271="SERVICE / STOCKOUT REVIEW","P1 - SERVICE",IF(Z271="OVERSTOCK REVIEW","P2 - OVERSTOCK",IF(Z271="REPLENISHMENT REVIEW","P2 - REPLENISH","P3 - MONITOR"))))</f>
        <v/>
      </c>
      <c r="AC271" s="10" t="n">
        <v>9929.025555555556</v>
      </c>
      <c r="AD271" s="10" t="n">
        <v>9299.525335333334</v>
      </c>
      <c r="AE271" s="10">
        <f>IF(OR(AD271="",H271=""),"",H271*AD271)</f>
        <v/>
      </c>
    </row>
    <row r="272">
      <c r="A272" s="13" t="inlineStr">
        <is>
          <t>2022-12-31</t>
        </is>
      </c>
      <c r="B272" s="13" t="n">
        <v>421</v>
      </c>
      <c r="C272" s="14" t="inlineStr">
        <is>
          <t>SaigonFlex UM-26</t>
        </is>
      </c>
      <c r="D272" s="14" t="inlineStr">
        <is>
          <t>Streetwear</t>
        </is>
      </c>
      <c r="E272" s="13" t="inlineStr">
        <is>
          <t>Balanced</t>
        </is>
      </c>
      <c r="F272" s="13" t="inlineStr">
        <is>
          <t>M</t>
        </is>
      </c>
      <c r="G272" s="13" t="inlineStr">
        <is>
          <t>black</t>
        </is>
      </c>
      <c r="H272" s="15" t="n">
        <v>12</v>
      </c>
      <c r="I272" s="15" t="n">
        <v>9</v>
      </c>
      <c r="J272" s="16" t="n">
        <v>14</v>
      </c>
      <c r="K272" s="16">
        <f>IFERROR(J272/30,0)</f>
        <v/>
      </c>
      <c r="L272" s="15" t="n">
        <v>1</v>
      </c>
      <c r="M272" s="17" t="n">
        <v>0.9667</v>
      </c>
      <c r="N272" s="15" t="n">
        <v>1</v>
      </c>
      <c r="O272" s="15" t="n">
        <v>0</v>
      </c>
      <c r="P272" s="15" t="n">
        <v>0</v>
      </c>
      <c r="Q272" s="12" t="n">
        <v>0</v>
      </c>
      <c r="R272" s="12" t="n">
        <v>0</v>
      </c>
      <c r="S272" s="15">
        <f>H272+Q272-R272</f>
        <v/>
      </c>
      <c r="T272" s="12" t="n">
        <v>14</v>
      </c>
      <c r="U272" s="12" t="n">
        <v>7</v>
      </c>
      <c r="V272" s="12" t="n">
        <v>7</v>
      </c>
      <c r="W272" s="16">
        <f>K272*(T272+U272)</f>
        <v/>
      </c>
      <c r="X272" s="16">
        <f>K272*(T272+U272+V272)</f>
        <v/>
      </c>
      <c r="Y272" s="16">
        <f>IF(K272&gt;0,H272/K272,99999)</f>
        <v/>
      </c>
      <c r="Z272" s="14">
        <f>IF(AND(OR(L272&gt;=1,M272&lt;0.95),Y272&gt;120),"DATA CONFLICT - VERIFY",IF(OR(L272&gt;=1,M272&lt;0.95,Y272&lt;=14),"SERVICE / STOCKOUT REVIEW",IF(Y272&gt;120,"OVERSTOCK REVIEW",IF(S272&lt;=W272,"REPLENISHMENT REVIEW","NORMAL MONITORING"))))</f>
        <v/>
      </c>
      <c r="AA272" s="15">
        <f>IF(OR(Z272="DATA CONFLICT - VERIFY",Z272="SERVICE / STOCKOUT REVIEW"),0,IF(S272&lt;=W272,MAX(0,ROUNDUP(X272-S272,0)),0))</f>
        <v/>
      </c>
      <c r="AB272" s="14">
        <f>IF(Z272="DATA CONFLICT - VERIFY","P1 - DATA CONFLICT",IF(Z272="SERVICE / STOCKOUT REVIEW","P1 - SERVICE",IF(Z272="OVERSTOCK REVIEW","P2 - OVERSTOCK",IF(Z272="REPLENISHMENT REVIEW","P2 - REPLENISH","P3 - MONITOR"))))</f>
        <v/>
      </c>
      <c r="AC272" s="16" t="n">
        <v>21110.51634146341</v>
      </c>
      <c r="AD272" s="16" t="n">
        <v>17857.3857732439</v>
      </c>
      <c r="AE272" s="16">
        <f>IF(OR(AD272="",H272=""),"",H272*AD272)</f>
        <v/>
      </c>
    </row>
    <row r="273">
      <c r="A273" s="7" t="inlineStr">
        <is>
          <t>2022-12-31</t>
        </is>
      </c>
      <c r="B273" s="7" t="n">
        <v>428</v>
      </c>
      <c r="C273" s="8" t="inlineStr">
        <is>
          <t>SaigonFlex UM-33</t>
        </is>
      </c>
      <c r="D273" s="8" t="inlineStr">
        <is>
          <t>Streetwear</t>
        </is>
      </c>
      <c r="E273" s="7" t="inlineStr">
        <is>
          <t>Balanced</t>
        </is>
      </c>
      <c r="F273" s="7" t="inlineStr">
        <is>
          <t>S</t>
        </is>
      </c>
      <c r="G273" s="7" t="inlineStr">
        <is>
          <t>pink</t>
        </is>
      </c>
      <c r="H273" s="9" t="n">
        <v>121</v>
      </c>
      <c r="I273" s="9" t="n">
        <v>29</v>
      </c>
      <c r="J273" s="10" t="n">
        <v>27.33333333333333</v>
      </c>
      <c r="K273" s="10">
        <f>IFERROR(J273/30,0)</f>
        <v/>
      </c>
      <c r="L273" s="9" t="n">
        <v>1</v>
      </c>
      <c r="M273" s="11" t="n">
        <v>0.9667</v>
      </c>
      <c r="N273" s="9" t="n">
        <v>1</v>
      </c>
      <c r="O273" s="9" t="n">
        <v>1</v>
      </c>
      <c r="P273" s="9" t="n">
        <v>0</v>
      </c>
      <c r="Q273" s="12" t="n">
        <v>0</v>
      </c>
      <c r="R273" s="12" t="n">
        <v>0</v>
      </c>
      <c r="S273" s="9">
        <f>H273+Q273-R273</f>
        <v/>
      </c>
      <c r="T273" s="12" t="n">
        <v>14</v>
      </c>
      <c r="U273" s="12" t="n">
        <v>7</v>
      </c>
      <c r="V273" s="12" t="n">
        <v>7</v>
      </c>
      <c r="W273" s="10">
        <f>K273*(T273+U273)</f>
        <v/>
      </c>
      <c r="X273" s="10">
        <f>K273*(T273+U273+V273)</f>
        <v/>
      </c>
      <c r="Y273" s="10">
        <f>IF(K273&gt;0,H273/K273,99999)</f>
        <v/>
      </c>
      <c r="Z273" s="8">
        <f>IF(AND(OR(L273&gt;=1,M273&lt;0.95),Y273&gt;120),"DATA CONFLICT - VERIFY",IF(OR(L273&gt;=1,M273&lt;0.95,Y273&lt;=14),"SERVICE / STOCKOUT REVIEW",IF(Y273&gt;120,"OVERSTOCK REVIEW",IF(S273&lt;=W273,"REPLENISHMENT REVIEW","NORMAL MONITORING"))))</f>
        <v/>
      </c>
      <c r="AA273" s="9">
        <f>IF(OR(Z273="DATA CONFLICT - VERIFY",Z273="SERVICE / STOCKOUT REVIEW"),0,IF(S273&lt;=W273,MAX(0,ROUNDUP(X273-S273,0)),0))</f>
        <v/>
      </c>
      <c r="AB273" s="8">
        <f>IF(Z273="DATA CONFLICT - VERIFY","P1 - DATA CONFLICT",IF(Z273="SERVICE / STOCKOUT REVIEW","P1 - SERVICE",IF(Z273="OVERSTOCK REVIEW","P2 - OVERSTOCK",IF(Z273="REPLENISHMENT REVIEW","P2 - REPLENISH","P3 - MONITOR"))))</f>
        <v/>
      </c>
      <c r="AC273" s="10" t="n">
        <v>14291.70200398804</v>
      </c>
      <c r="AD273" s="10" t="n">
        <v>13021.1696958335</v>
      </c>
      <c r="AE273" s="10">
        <f>IF(OR(AD273="",H273=""),"",H273*AD273)</f>
        <v/>
      </c>
    </row>
    <row r="274">
      <c r="A274" s="13" t="inlineStr">
        <is>
          <t>2022-12-31</t>
        </is>
      </c>
      <c r="B274" s="13" t="n">
        <v>431</v>
      </c>
      <c r="C274" s="14" t="inlineStr">
        <is>
          <t>SaigonFlex UM-36</t>
        </is>
      </c>
      <c r="D274" s="14" t="inlineStr">
        <is>
          <t>Streetwear</t>
        </is>
      </c>
      <c r="E274" s="13" t="inlineStr">
        <is>
          <t>Balanced</t>
        </is>
      </c>
      <c r="F274" s="13" t="inlineStr">
        <is>
          <t>XL</t>
        </is>
      </c>
      <c r="G274" s="13" t="inlineStr">
        <is>
          <t>black</t>
        </is>
      </c>
      <c r="H274" s="15" t="n">
        <v>92</v>
      </c>
      <c r="I274" s="15" t="n">
        <v>8</v>
      </c>
      <c r="J274" s="16" t="n">
        <v>17</v>
      </c>
      <c r="K274" s="16">
        <f>IFERROR(J274/30,0)</f>
        <v/>
      </c>
      <c r="L274" s="15" t="n">
        <v>2</v>
      </c>
      <c r="M274" s="17" t="n">
        <v>0.9333</v>
      </c>
      <c r="N274" s="15" t="n">
        <v>1</v>
      </c>
      <c r="O274" s="15" t="n">
        <v>1</v>
      </c>
      <c r="P274" s="15" t="n">
        <v>0</v>
      </c>
      <c r="Q274" s="12" t="n">
        <v>0</v>
      </c>
      <c r="R274" s="12" t="n">
        <v>0</v>
      </c>
      <c r="S274" s="15">
        <f>H274+Q274-R274</f>
        <v/>
      </c>
      <c r="T274" s="12" t="n">
        <v>14</v>
      </c>
      <c r="U274" s="12" t="n">
        <v>7</v>
      </c>
      <c r="V274" s="12" t="n">
        <v>7</v>
      </c>
      <c r="W274" s="16">
        <f>K274*(T274+U274)</f>
        <v/>
      </c>
      <c r="X274" s="16">
        <f>K274*(T274+U274+V274)</f>
        <v/>
      </c>
      <c r="Y274" s="16">
        <f>IF(K274&gt;0,H274/K274,99999)</f>
        <v/>
      </c>
      <c r="Z274" s="14">
        <f>IF(AND(OR(L274&gt;=1,M274&lt;0.95),Y274&gt;120),"DATA CONFLICT - VERIFY",IF(OR(L274&gt;=1,M274&lt;0.95,Y274&lt;=14),"SERVICE / STOCKOUT REVIEW",IF(Y274&gt;120,"OVERSTOCK REVIEW",IF(S274&lt;=W274,"REPLENISHMENT REVIEW","NORMAL MONITORING"))))</f>
        <v/>
      </c>
      <c r="AA274" s="15">
        <f>IF(OR(Z274="DATA CONFLICT - VERIFY",Z274="SERVICE / STOCKOUT REVIEW"),0,IF(S274&lt;=W274,MAX(0,ROUNDUP(X274-S274,0)),0))</f>
        <v/>
      </c>
      <c r="AB274" s="14">
        <f>IF(Z274="DATA CONFLICT - VERIFY","P1 - DATA CONFLICT",IF(Z274="SERVICE / STOCKOUT REVIEW","P1 - SERVICE",IF(Z274="OVERSTOCK REVIEW","P2 - OVERSTOCK",IF(Z274="REPLENISHMENT REVIEW","P2 - REPLENISH","P3 - MONITOR"))))</f>
        <v/>
      </c>
      <c r="AC274" s="16" t="n">
        <v>12437.64835051546</v>
      </c>
      <c r="AD274" s="16" t="n">
        <v>9655.346414505157</v>
      </c>
      <c r="AE274" s="16">
        <f>IF(OR(AD274="",H274=""),"",H274*AD274)</f>
        <v/>
      </c>
    </row>
    <row r="275">
      <c r="A275" s="7" t="inlineStr">
        <is>
          <t>2022-12-31</t>
        </is>
      </c>
      <c r="B275" s="7" t="n">
        <v>444</v>
      </c>
      <c r="C275" s="8" t="inlineStr">
        <is>
          <t>SaigonFlex UM-49</t>
        </is>
      </c>
      <c r="D275" s="8" t="inlineStr">
        <is>
          <t>Streetwear</t>
        </is>
      </c>
      <c r="E275" s="7" t="inlineStr">
        <is>
          <t>Balanced</t>
        </is>
      </c>
      <c r="F275" s="7" t="inlineStr">
        <is>
          <t>S</t>
        </is>
      </c>
      <c r="G275" s="7" t="inlineStr">
        <is>
          <t>white</t>
        </is>
      </c>
      <c r="H275" s="9" t="n">
        <v>30</v>
      </c>
      <c r="I275" s="9" t="n">
        <v>12</v>
      </c>
      <c r="J275" s="10" t="n">
        <v>10.5</v>
      </c>
      <c r="K275" s="10">
        <f>IFERROR(J275/30,0)</f>
        <v/>
      </c>
      <c r="L275" s="9" t="n">
        <v>0</v>
      </c>
      <c r="M275" s="11" t="n">
        <v>1</v>
      </c>
      <c r="N275" s="9" t="n">
        <v>0</v>
      </c>
      <c r="O275" s="9" t="n">
        <v>0</v>
      </c>
      <c r="P275" s="9" t="n">
        <v>0</v>
      </c>
      <c r="Q275" s="12" t="n">
        <v>0</v>
      </c>
      <c r="R275" s="12" t="n">
        <v>0</v>
      </c>
      <c r="S275" s="9">
        <f>H275+Q275-R275</f>
        <v/>
      </c>
      <c r="T275" s="12" t="n">
        <v>14</v>
      </c>
      <c r="U275" s="12" t="n">
        <v>7</v>
      </c>
      <c r="V275" s="12" t="n">
        <v>7</v>
      </c>
      <c r="W275" s="10">
        <f>K275*(T275+U275)</f>
        <v/>
      </c>
      <c r="X275" s="10">
        <f>K275*(T275+U275+V275)</f>
        <v/>
      </c>
      <c r="Y275" s="10">
        <f>IF(K275&gt;0,H275/K275,99999)</f>
        <v/>
      </c>
      <c r="Z275" s="8">
        <f>IF(AND(OR(L275&gt;=1,M275&lt;0.95),Y275&gt;120),"DATA CONFLICT - VERIFY",IF(OR(L275&gt;=1,M275&lt;0.95,Y275&lt;=14),"SERVICE / STOCKOUT REVIEW",IF(Y275&gt;120,"OVERSTOCK REVIEW",IF(S275&lt;=W275,"REPLENISHMENT REVIEW","NORMAL MONITORING"))))</f>
        <v/>
      </c>
      <c r="AA275" s="9">
        <f>IF(OR(Z275="DATA CONFLICT - VERIFY",Z275="SERVICE / STOCKOUT REVIEW"),0,IF(S275&lt;=W275,MAX(0,ROUNDUP(X275-S275,0)),0))</f>
        <v/>
      </c>
      <c r="AB275" s="8">
        <f>IF(Z275="DATA CONFLICT - VERIFY","P1 - DATA CONFLICT",IF(Z275="SERVICE / STOCKOUT REVIEW","P1 - SERVICE",IF(Z275="OVERSTOCK REVIEW","P2 - OVERSTOCK",IF(Z275="REPLENISHMENT REVIEW","P2 - REPLENISH","P3 - MONITOR"))))</f>
        <v/>
      </c>
      <c r="AC275" s="10" t="n">
        <v>13238.5575</v>
      </c>
      <c r="AD275" s="10" t="n">
        <v>12576.629625</v>
      </c>
      <c r="AE275" s="10">
        <f>IF(OR(AD275="",H275=""),"",H275*AD275)</f>
        <v/>
      </c>
    </row>
    <row r="276">
      <c r="A276" s="13" t="inlineStr">
        <is>
          <t>2022-12-31</t>
        </is>
      </c>
      <c r="B276" s="13" t="n">
        <v>449</v>
      </c>
      <c r="C276" s="14" t="inlineStr">
        <is>
          <t>SaigonFlex UM-54</t>
        </is>
      </c>
      <c r="D276" s="14" t="inlineStr">
        <is>
          <t>Streetwear</t>
        </is>
      </c>
      <c r="E276" s="13" t="inlineStr">
        <is>
          <t>Balanced</t>
        </is>
      </c>
      <c r="F276" s="13" t="inlineStr">
        <is>
          <t>M</t>
        </is>
      </c>
      <c r="G276" s="13" t="inlineStr">
        <is>
          <t>yellow</t>
        </is>
      </c>
      <c r="H276" s="15" t="n">
        <v>1115</v>
      </c>
      <c r="I276" s="15" t="n">
        <v>116</v>
      </c>
      <c r="J276" s="16" t="n">
        <v>108.6666666666667</v>
      </c>
      <c r="K276" s="16">
        <f>IFERROR(J276/30,0)</f>
        <v/>
      </c>
      <c r="L276" s="15" t="n">
        <v>2</v>
      </c>
      <c r="M276" s="17" t="n">
        <v>0.9333</v>
      </c>
      <c r="N276" s="15" t="n">
        <v>1</v>
      </c>
      <c r="O276" s="15" t="n">
        <v>1</v>
      </c>
      <c r="P276" s="15" t="n">
        <v>0</v>
      </c>
      <c r="Q276" s="12" t="n">
        <v>0</v>
      </c>
      <c r="R276" s="12" t="n">
        <v>0</v>
      </c>
      <c r="S276" s="15">
        <f>H276+Q276-R276</f>
        <v/>
      </c>
      <c r="T276" s="12" t="n">
        <v>14</v>
      </c>
      <c r="U276" s="12" t="n">
        <v>7</v>
      </c>
      <c r="V276" s="12" t="n">
        <v>7</v>
      </c>
      <c r="W276" s="16">
        <f>K276*(T276+U276)</f>
        <v/>
      </c>
      <c r="X276" s="16">
        <f>K276*(T276+U276+V276)</f>
        <v/>
      </c>
      <c r="Y276" s="16">
        <f>IF(K276&gt;0,H276/K276,99999)</f>
        <v/>
      </c>
      <c r="Z276" s="14">
        <f>IF(AND(OR(L276&gt;=1,M276&lt;0.95),Y276&gt;120),"DATA CONFLICT - VERIFY",IF(OR(L276&gt;=1,M276&lt;0.95,Y276&lt;=14),"SERVICE / STOCKOUT REVIEW",IF(Y276&gt;120,"OVERSTOCK REVIEW",IF(S276&lt;=W276,"REPLENISHMENT REVIEW","NORMAL MONITORING"))))</f>
        <v/>
      </c>
      <c r="AA276" s="15">
        <f>IF(OR(Z276="DATA CONFLICT - VERIFY",Z276="SERVICE / STOCKOUT REVIEW"),0,IF(S276&lt;=W276,MAX(0,ROUNDUP(X276-S276,0)),0))</f>
        <v/>
      </c>
      <c r="AB276" s="14">
        <f>IF(Z276="DATA CONFLICT - VERIFY","P1 - DATA CONFLICT",IF(Z276="SERVICE / STOCKOUT REVIEW","P1 - SERVICE",IF(Z276="OVERSTOCK REVIEW","P2 - OVERSTOCK",IF(Z276="REPLENISHMENT REVIEW","P2 - REPLENISH","P3 - MONITOR"))))</f>
        <v/>
      </c>
      <c r="AC276" s="16" t="n">
        <v>12600.87163103917</v>
      </c>
      <c r="AD276" s="16" t="n">
        <v>11279.04019694316</v>
      </c>
      <c r="AE276" s="16">
        <f>IF(OR(AD276="",H276=""),"",H276*AD276)</f>
        <v/>
      </c>
    </row>
    <row r="277">
      <c r="A277" s="7" t="inlineStr">
        <is>
          <t>2022-12-31</t>
        </is>
      </c>
      <c r="B277" s="7" t="n">
        <v>451</v>
      </c>
      <c r="C277" s="8" t="inlineStr">
        <is>
          <t>SaigonFlex UM-56</t>
        </is>
      </c>
      <c r="D277" s="8" t="inlineStr">
        <is>
          <t>Streetwear</t>
        </is>
      </c>
      <c r="E277" s="7" t="inlineStr">
        <is>
          <t>Balanced</t>
        </is>
      </c>
      <c r="F277" s="7" t="inlineStr">
        <is>
          <t>XL</t>
        </is>
      </c>
      <c r="G277" s="7" t="inlineStr">
        <is>
          <t>black</t>
        </is>
      </c>
      <c r="H277" s="9" t="n">
        <v>221</v>
      </c>
      <c r="I277" s="9" t="n">
        <v>23</v>
      </c>
      <c r="J277" s="10" t="n">
        <v>29.33333333333333</v>
      </c>
      <c r="K277" s="10">
        <f>IFERROR(J277/30,0)</f>
        <v/>
      </c>
      <c r="L277" s="9" t="n">
        <v>0</v>
      </c>
      <c r="M277" s="11" t="n">
        <v>1</v>
      </c>
      <c r="N277" s="9" t="n">
        <v>0</v>
      </c>
      <c r="O277" s="9" t="n">
        <v>1</v>
      </c>
      <c r="P277" s="9" t="n">
        <v>0</v>
      </c>
      <c r="Q277" s="12" t="n">
        <v>0</v>
      </c>
      <c r="R277" s="12" t="n">
        <v>0</v>
      </c>
      <c r="S277" s="9">
        <f>H277+Q277-R277</f>
        <v/>
      </c>
      <c r="T277" s="12" t="n">
        <v>14</v>
      </c>
      <c r="U277" s="12" t="n">
        <v>7</v>
      </c>
      <c r="V277" s="12" t="n">
        <v>7</v>
      </c>
      <c r="W277" s="10">
        <f>K277*(T277+U277)</f>
        <v/>
      </c>
      <c r="X277" s="10">
        <f>K277*(T277+U277+V277)</f>
        <v/>
      </c>
      <c r="Y277" s="10">
        <f>IF(K277&gt;0,H277/K277,99999)</f>
        <v/>
      </c>
      <c r="Z277" s="8">
        <f>IF(AND(OR(L277&gt;=1,M277&lt;0.95),Y277&gt;120),"DATA CONFLICT - VERIFY",IF(OR(L277&gt;=1,M277&lt;0.95,Y277&lt;=14),"SERVICE / STOCKOUT REVIEW",IF(Y277&gt;120,"OVERSTOCK REVIEW",IF(S277&lt;=W277,"REPLENISHMENT REVIEW","NORMAL MONITORING"))))</f>
        <v/>
      </c>
      <c r="AA277" s="9">
        <f>IF(OR(Z277="DATA CONFLICT - VERIFY",Z277="SERVICE / STOCKOUT REVIEW"),0,IF(S277&lt;=W277,MAX(0,ROUNDUP(X277-S277,0)),0))</f>
        <v/>
      </c>
      <c r="AB277" s="8">
        <f>IF(Z277="DATA CONFLICT - VERIFY","P1 - DATA CONFLICT",IF(Z277="SERVICE / STOCKOUT REVIEW","P1 - SERVICE",IF(Z277="OVERSTOCK REVIEW","P2 - OVERSTOCK",IF(Z277="REPLENISHMENT REVIEW","P2 - REPLENISH","P3 - MONITOR"))))</f>
        <v/>
      </c>
      <c r="AC277" s="10" t="n">
        <v>11090.6663397466</v>
      </c>
      <c r="AD277" s="10" t="n">
        <v>8601.920813107461</v>
      </c>
      <c r="AE277" s="10">
        <f>IF(OR(AD277="",H277=""),"",H277*AD277)</f>
        <v/>
      </c>
    </row>
    <row r="278">
      <c r="A278" s="13" t="inlineStr">
        <is>
          <t>2022-12-31</t>
        </is>
      </c>
      <c r="B278" s="13" t="n">
        <v>452</v>
      </c>
      <c r="C278" s="14" t="inlineStr">
        <is>
          <t>SaigonFlex UM-57</t>
        </is>
      </c>
      <c r="D278" s="14" t="inlineStr">
        <is>
          <t>Streetwear</t>
        </is>
      </c>
      <c r="E278" s="13" t="inlineStr">
        <is>
          <t>Balanced</t>
        </is>
      </c>
      <c r="F278" s="13" t="inlineStr">
        <is>
          <t>S</t>
        </is>
      </c>
      <c r="G278" s="13" t="inlineStr">
        <is>
          <t>orange</t>
        </is>
      </c>
      <c r="H278" s="15" t="n">
        <v>22</v>
      </c>
      <c r="I278" s="15" t="n">
        <v>22</v>
      </c>
      <c r="J278" s="16" t="n">
        <v>14</v>
      </c>
      <c r="K278" s="16">
        <f>IFERROR(J278/30,0)</f>
        <v/>
      </c>
      <c r="L278" s="15" t="n">
        <v>3</v>
      </c>
      <c r="M278" s="17" t="n">
        <v>0.9</v>
      </c>
      <c r="N278" s="15" t="n">
        <v>1</v>
      </c>
      <c r="O278" s="15" t="n">
        <v>0</v>
      </c>
      <c r="P278" s="15" t="n">
        <v>0</v>
      </c>
      <c r="Q278" s="12" t="n">
        <v>0</v>
      </c>
      <c r="R278" s="12" t="n">
        <v>0</v>
      </c>
      <c r="S278" s="15">
        <f>H278+Q278-R278</f>
        <v/>
      </c>
      <c r="T278" s="12" t="n">
        <v>14</v>
      </c>
      <c r="U278" s="12" t="n">
        <v>7</v>
      </c>
      <c r="V278" s="12" t="n">
        <v>7</v>
      </c>
      <c r="W278" s="16">
        <f>K278*(T278+U278)</f>
        <v/>
      </c>
      <c r="X278" s="16">
        <f>K278*(T278+U278+V278)</f>
        <v/>
      </c>
      <c r="Y278" s="16">
        <f>IF(K278&gt;0,H278/K278,99999)</f>
        <v/>
      </c>
      <c r="Z278" s="14">
        <f>IF(AND(OR(L278&gt;=1,M278&lt;0.95),Y278&gt;120),"DATA CONFLICT - VERIFY",IF(OR(L278&gt;=1,M278&lt;0.95,Y278&lt;=14),"SERVICE / STOCKOUT REVIEW",IF(Y278&gt;120,"OVERSTOCK REVIEW",IF(S278&lt;=W278,"REPLENISHMENT REVIEW","NORMAL MONITORING"))))</f>
        <v/>
      </c>
      <c r="AA278" s="15">
        <f>IF(OR(Z278="DATA CONFLICT - VERIFY",Z278="SERVICE / STOCKOUT REVIEW"),0,IF(S278&lt;=W278,MAX(0,ROUNDUP(X278-S278,0)),0))</f>
        <v/>
      </c>
      <c r="AB278" s="14">
        <f>IF(Z278="DATA CONFLICT - VERIFY","P1 - DATA CONFLICT",IF(Z278="SERVICE / STOCKOUT REVIEW","P1 - SERVICE",IF(Z278="OVERSTOCK REVIEW","P2 - OVERSTOCK",IF(Z278="REPLENISHMENT REVIEW","P2 - REPLENISH","P3 - MONITOR"))))</f>
        <v/>
      </c>
      <c r="AC278" s="16" t="n">
        <v>13107.43451612903</v>
      </c>
      <c r="AD278" s="16" t="n">
        <v>7168.455936870969</v>
      </c>
      <c r="AE278" s="16">
        <f>IF(OR(AD278="",H278=""),"",H278*AD278)</f>
        <v/>
      </c>
    </row>
    <row r="279">
      <c r="A279" s="7" t="inlineStr">
        <is>
          <t>2022-12-31</t>
        </is>
      </c>
      <c r="B279" s="7" t="n">
        <v>458</v>
      </c>
      <c r="C279" s="8" t="inlineStr">
        <is>
          <t>SaigonFlex UM-63</t>
        </is>
      </c>
      <c r="D279" s="8" t="inlineStr">
        <is>
          <t>Streetwear</t>
        </is>
      </c>
      <c r="E279" s="7" t="inlineStr">
        <is>
          <t>Balanced</t>
        </is>
      </c>
      <c r="F279" s="7" t="inlineStr">
        <is>
          <t>L</t>
        </is>
      </c>
      <c r="G279" s="7" t="inlineStr">
        <is>
          <t>pink</t>
        </is>
      </c>
      <c r="H279" s="9" t="n">
        <v>24</v>
      </c>
      <c r="I279" s="9" t="n">
        <v>4</v>
      </c>
      <c r="J279" s="10" t="n">
        <v>5.666666666666667</v>
      </c>
      <c r="K279" s="10">
        <f>IFERROR(J279/30,0)</f>
        <v/>
      </c>
      <c r="L279" s="9" t="n">
        <v>0</v>
      </c>
      <c r="M279" s="11" t="n">
        <v>1</v>
      </c>
      <c r="N279" s="9" t="n">
        <v>0</v>
      </c>
      <c r="O279" s="9" t="n">
        <v>1</v>
      </c>
      <c r="P279" s="9" t="n">
        <v>0</v>
      </c>
      <c r="Q279" s="12" t="n">
        <v>0</v>
      </c>
      <c r="R279" s="12" t="n">
        <v>0</v>
      </c>
      <c r="S279" s="9">
        <f>H279+Q279-R279</f>
        <v/>
      </c>
      <c r="T279" s="12" t="n">
        <v>14</v>
      </c>
      <c r="U279" s="12" t="n">
        <v>7</v>
      </c>
      <c r="V279" s="12" t="n">
        <v>7</v>
      </c>
      <c r="W279" s="10">
        <f>K279*(T279+U279)</f>
        <v/>
      </c>
      <c r="X279" s="10">
        <f>K279*(T279+U279+V279)</f>
        <v/>
      </c>
      <c r="Y279" s="10">
        <f>IF(K279&gt;0,H279/K279,99999)</f>
        <v/>
      </c>
      <c r="Z279" s="8">
        <f>IF(AND(OR(L279&gt;=1,M279&lt;0.95),Y279&gt;120),"DATA CONFLICT - VERIFY",IF(OR(L279&gt;=1,M279&lt;0.95,Y279&lt;=14),"SERVICE / STOCKOUT REVIEW",IF(Y279&gt;120,"OVERSTOCK REVIEW",IF(S279&lt;=W279,"REPLENISHMENT REVIEW","NORMAL MONITORING"))))</f>
        <v/>
      </c>
      <c r="AA279" s="9">
        <f>IF(OR(Z279="DATA CONFLICT - VERIFY",Z279="SERVICE / STOCKOUT REVIEW"),0,IF(S279&lt;=W279,MAX(0,ROUNDUP(X279-S279,0)),0))</f>
        <v/>
      </c>
      <c r="AB279" s="8">
        <f>IF(Z279="DATA CONFLICT - VERIFY","P1 - DATA CONFLICT",IF(Z279="SERVICE / STOCKOUT REVIEW","P1 - SERVICE",IF(Z279="OVERSTOCK REVIEW","P2 - OVERSTOCK",IF(Z279="REPLENISHMENT REVIEW","P2 - REPLENISH","P3 - MONITOR"))))</f>
        <v/>
      </c>
      <c r="AC279" s="10" t="n">
        <v>21423.24692307692</v>
      </c>
      <c r="AD279" s="10" t="n">
        <v>16733.69817161539</v>
      </c>
      <c r="AE279" s="10">
        <f>IF(OR(AD279="",H279=""),"",H279*AD279)</f>
        <v/>
      </c>
    </row>
    <row r="280">
      <c r="A280" s="13" t="inlineStr">
        <is>
          <t>2022-12-31</t>
        </is>
      </c>
      <c r="B280" s="13" t="n">
        <v>461</v>
      </c>
      <c r="C280" s="14" t="inlineStr">
        <is>
          <t>SaigonFlex UM-66</t>
        </is>
      </c>
      <c r="D280" s="14" t="inlineStr">
        <is>
          <t>Streetwear</t>
        </is>
      </c>
      <c r="E280" s="13" t="inlineStr">
        <is>
          <t>Balanced</t>
        </is>
      </c>
      <c r="F280" s="13" t="inlineStr">
        <is>
          <t>M</t>
        </is>
      </c>
      <c r="G280" s="13" t="inlineStr">
        <is>
          <t>black</t>
        </is>
      </c>
      <c r="H280" s="15" t="n">
        <v>220</v>
      </c>
      <c r="I280" s="15" t="n">
        <v>28</v>
      </c>
      <c r="J280" s="16" t="n">
        <v>25.33333333333333</v>
      </c>
      <c r="K280" s="16">
        <f>IFERROR(J280/30,0)</f>
        <v/>
      </c>
      <c r="L280" s="15" t="n">
        <v>0</v>
      </c>
      <c r="M280" s="17" t="n">
        <v>1</v>
      </c>
      <c r="N280" s="15" t="n">
        <v>0</v>
      </c>
      <c r="O280" s="15" t="n">
        <v>1</v>
      </c>
      <c r="P280" s="15" t="n">
        <v>0</v>
      </c>
      <c r="Q280" s="12" t="n">
        <v>0</v>
      </c>
      <c r="R280" s="12" t="n">
        <v>0</v>
      </c>
      <c r="S280" s="15">
        <f>H280+Q280-R280</f>
        <v/>
      </c>
      <c r="T280" s="12" t="n">
        <v>14</v>
      </c>
      <c r="U280" s="12" t="n">
        <v>7</v>
      </c>
      <c r="V280" s="12" t="n">
        <v>7</v>
      </c>
      <c r="W280" s="16">
        <f>K280*(T280+U280)</f>
        <v/>
      </c>
      <c r="X280" s="16">
        <f>K280*(T280+U280+V280)</f>
        <v/>
      </c>
      <c r="Y280" s="16">
        <f>IF(K280&gt;0,H280/K280,99999)</f>
        <v/>
      </c>
      <c r="Z280" s="14">
        <f>IF(AND(OR(L280&gt;=1,M280&lt;0.95),Y280&gt;120),"DATA CONFLICT - VERIFY",IF(OR(L280&gt;=1,M280&lt;0.95,Y280&lt;=14),"SERVICE / STOCKOUT REVIEW",IF(Y280&gt;120,"OVERSTOCK REVIEW",IF(S280&lt;=W280,"REPLENISHMENT REVIEW","NORMAL MONITORING"))))</f>
        <v/>
      </c>
      <c r="AA280" s="15">
        <f>IF(OR(Z280="DATA CONFLICT - VERIFY",Z280="SERVICE / STOCKOUT REVIEW"),0,IF(S280&lt;=W280,MAX(0,ROUNDUP(X280-S280,0)),0))</f>
        <v/>
      </c>
      <c r="AB280" s="14">
        <f>IF(Z280="DATA CONFLICT - VERIFY","P1 - DATA CONFLICT",IF(Z280="SERVICE / STOCKOUT REVIEW","P1 - SERVICE",IF(Z280="OVERSTOCK REVIEW","P2 - OVERSTOCK",IF(Z280="REPLENISHMENT REVIEW","P2 - REPLENISH","P3 - MONITOR"))))</f>
        <v/>
      </c>
      <c r="AC280" s="16" t="n">
        <v>13863.65048780488</v>
      </c>
      <c r="AD280" s="16" t="n">
        <v>13170.46796341463</v>
      </c>
      <c r="AE280" s="16">
        <f>IF(OR(AD280="",H280=""),"",H280*AD280)</f>
        <v/>
      </c>
    </row>
    <row r="281">
      <c r="A281" s="7" t="inlineStr">
        <is>
          <t>2022-12-31</t>
        </is>
      </c>
      <c r="B281" s="7" t="n">
        <v>462</v>
      </c>
      <c r="C281" s="8" t="inlineStr">
        <is>
          <t>SaigonFlex UM-67</t>
        </is>
      </c>
      <c r="D281" s="8" t="inlineStr">
        <is>
          <t>Streetwear</t>
        </is>
      </c>
      <c r="E281" s="7" t="inlineStr">
        <is>
          <t>Balanced</t>
        </is>
      </c>
      <c r="F281" s="7" t="inlineStr">
        <is>
          <t>L</t>
        </is>
      </c>
      <c r="G281" s="7" t="inlineStr">
        <is>
          <t>orange</t>
        </is>
      </c>
      <c r="H281" s="9" t="n">
        <v>29</v>
      </c>
      <c r="I281" s="9" t="n">
        <v>3</v>
      </c>
      <c r="J281" s="10" t="n">
        <v>5.666666666666667</v>
      </c>
      <c r="K281" s="10">
        <f>IFERROR(J281/30,0)</f>
        <v/>
      </c>
      <c r="L281" s="9" t="n">
        <v>2</v>
      </c>
      <c r="M281" s="11" t="n">
        <v>0.9333</v>
      </c>
      <c r="N281" s="9" t="n">
        <v>1</v>
      </c>
      <c r="O281" s="9" t="n">
        <v>1</v>
      </c>
      <c r="P281" s="9" t="n">
        <v>0</v>
      </c>
      <c r="Q281" s="12" t="n">
        <v>0</v>
      </c>
      <c r="R281" s="12" t="n">
        <v>0</v>
      </c>
      <c r="S281" s="9">
        <f>H281+Q281-R281</f>
        <v/>
      </c>
      <c r="T281" s="12" t="n">
        <v>14</v>
      </c>
      <c r="U281" s="12" t="n">
        <v>7</v>
      </c>
      <c r="V281" s="12" t="n">
        <v>7</v>
      </c>
      <c r="W281" s="10">
        <f>K281*(T281+U281)</f>
        <v/>
      </c>
      <c r="X281" s="10">
        <f>K281*(T281+U281+V281)</f>
        <v/>
      </c>
      <c r="Y281" s="10">
        <f>IF(K281&gt;0,H281/K281,99999)</f>
        <v/>
      </c>
      <c r="Z281" s="8">
        <f>IF(AND(OR(L281&gt;=1,M281&lt;0.95),Y281&gt;120),"DATA CONFLICT - VERIFY",IF(OR(L281&gt;=1,M281&lt;0.95,Y281&lt;=14),"SERVICE / STOCKOUT REVIEW",IF(Y281&gt;120,"OVERSTOCK REVIEW",IF(S281&lt;=W281,"REPLENISHMENT REVIEW","NORMAL MONITORING"))))</f>
        <v/>
      </c>
      <c r="AA281" s="9">
        <f>IF(OR(Z281="DATA CONFLICT - VERIFY",Z281="SERVICE / STOCKOUT REVIEW"),0,IF(S281&lt;=W281,MAX(0,ROUNDUP(X281-S281,0)),0))</f>
        <v/>
      </c>
      <c r="AB281" s="8">
        <f>IF(Z281="DATA CONFLICT - VERIFY","P1 - DATA CONFLICT",IF(Z281="SERVICE / STOCKOUT REVIEW","P1 - SERVICE",IF(Z281="OVERSTOCK REVIEW","P2 - OVERSTOCK",IF(Z281="REPLENISHMENT REVIEW","P2 - REPLENISH","P3 - MONITOR"))))</f>
        <v/>
      </c>
      <c r="AC281" s="10" t="n">
        <v>24321.97975609756</v>
      </c>
      <c r="AD281" s="10" t="n">
        <v>20085.09088258537</v>
      </c>
      <c r="AE281" s="10">
        <f>IF(OR(AD281="",H281=""),"",H281*AD281)</f>
        <v/>
      </c>
    </row>
    <row r="282">
      <c r="A282" s="13" t="inlineStr">
        <is>
          <t>2022-12-31</t>
        </is>
      </c>
      <c r="B282" s="13" t="n">
        <v>470</v>
      </c>
      <c r="C282" s="14" t="inlineStr">
        <is>
          <t>SaigonFlex UM-75</t>
        </is>
      </c>
      <c r="D282" s="14" t="inlineStr">
        <is>
          <t>Streetwear</t>
        </is>
      </c>
      <c r="E282" s="13" t="inlineStr">
        <is>
          <t>Balanced</t>
        </is>
      </c>
      <c r="F282" s="13" t="inlineStr">
        <is>
          <t>L</t>
        </is>
      </c>
      <c r="G282" s="13" t="inlineStr">
        <is>
          <t>red</t>
        </is>
      </c>
      <c r="H282" s="15" t="n">
        <v>229</v>
      </c>
      <c r="I282" s="15" t="n">
        <v>39</v>
      </c>
      <c r="J282" s="16" t="n">
        <v>55.33333333333334</v>
      </c>
      <c r="K282" s="16">
        <f>IFERROR(J282/30,0)</f>
        <v/>
      </c>
      <c r="L282" s="15" t="n">
        <v>0</v>
      </c>
      <c r="M282" s="17" t="n">
        <v>1</v>
      </c>
      <c r="N282" s="15" t="n">
        <v>0</v>
      </c>
      <c r="O282" s="15" t="n">
        <v>1</v>
      </c>
      <c r="P282" s="15" t="n">
        <v>0</v>
      </c>
      <c r="Q282" s="12" t="n">
        <v>0</v>
      </c>
      <c r="R282" s="12" t="n">
        <v>0</v>
      </c>
      <c r="S282" s="15">
        <f>H282+Q282-R282</f>
        <v/>
      </c>
      <c r="T282" s="12" t="n">
        <v>14</v>
      </c>
      <c r="U282" s="12" t="n">
        <v>7</v>
      </c>
      <c r="V282" s="12" t="n">
        <v>7</v>
      </c>
      <c r="W282" s="16">
        <f>K282*(T282+U282)</f>
        <v/>
      </c>
      <c r="X282" s="16">
        <f>K282*(T282+U282+V282)</f>
        <v/>
      </c>
      <c r="Y282" s="16">
        <f>IF(K282&gt;0,H282/K282,99999)</f>
        <v/>
      </c>
      <c r="Z282" s="14">
        <f>IF(AND(OR(L282&gt;=1,M282&lt;0.95),Y282&gt;120),"DATA CONFLICT - VERIFY",IF(OR(L282&gt;=1,M282&lt;0.95,Y282&lt;=14),"SERVICE / STOCKOUT REVIEW",IF(Y282&gt;120,"OVERSTOCK REVIEW",IF(S282&lt;=W282,"REPLENISHMENT REVIEW","NORMAL MONITORING"))))</f>
        <v/>
      </c>
      <c r="AA282" s="15">
        <f>IF(OR(Z282="DATA CONFLICT - VERIFY",Z282="SERVICE / STOCKOUT REVIEW"),0,IF(S282&lt;=W282,MAX(0,ROUNDUP(X282-S282,0)),0))</f>
        <v/>
      </c>
      <c r="AB282" s="14">
        <f>IF(Z282="DATA CONFLICT - VERIFY","P1 - DATA CONFLICT",IF(Z282="SERVICE / STOCKOUT REVIEW","P1 - SERVICE",IF(Z282="OVERSTOCK REVIEW","P2 - OVERSTOCK",IF(Z282="REPLENISHMENT REVIEW","P2 - REPLENISH","P3 - MONITOR"))))</f>
        <v/>
      </c>
      <c r="AC282" s="16" t="n">
        <v>12524.87369318182</v>
      </c>
      <c r="AD282" s="16" t="n">
        <v>7330.808572619319</v>
      </c>
      <c r="AE282" s="16">
        <f>IF(OR(AD282="",H282=""),"",H282*AD282)</f>
        <v/>
      </c>
    </row>
    <row r="283">
      <c r="A283" s="7" t="inlineStr">
        <is>
          <t>2022-12-31</t>
        </is>
      </c>
      <c r="B283" s="7" t="n">
        <v>471</v>
      </c>
      <c r="C283" s="8" t="inlineStr">
        <is>
          <t>SaigonFlex UM-76</t>
        </is>
      </c>
      <c r="D283" s="8" t="inlineStr">
        <is>
          <t>Streetwear</t>
        </is>
      </c>
      <c r="E283" s="7" t="inlineStr">
        <is>
          <t>Balanced</t>
        </is>
      </c>
      <c r="F283" s="7" t="inlineStr">
        <is>
          <t>XL</t>
        </is>
      </c>
      <c r="G283" s="7" t="inlineStr">
        <is>
          <t>black</t>
        </is>
      </c>
      <c r="H283" s="9" t="n">
        <v>112</v>
      </c>
      <c r="I283" s="9" t="n">
        <v>14</v>
      </c>
      <c r="J283" s="10" t="n">
        <v>16.66666666666667</v>
      </c>
      <c r="K283" s="10">
        <f>IFERROR(J283/30,0)</f>
        <v/>
      </c>
      <c r="L283" s="9" t="n">
        <v>2</v>
      </c>
      <c r="M283" s="11" t="n">
        <v>0.9333</v>
      </c>
      <c r="N283" s="9" t="n">
        <v>1</v>
      </c>
      <c r="O283" s="9" t="n">
        <v>1</v>
      </c>
      <c r="P283" s="9" t="n">
        <v>0</v>
      </c>
      <c r="Q283" s="12" t="n">
        <v>0</v>
      </c>
      <c r="R283" s="12" t="n">
        <v>0</v>
      </c>
      <c r="S283" s="9">
        <f>H283+Q283-R283</f>
        <v/>
      </c>
      <c r="T283" s="12" t="n">
        <v>14</v>
      </c>
      <c r="U283" s="12" t="n">
        <v>7</v>
      </c>
      <c r="V283" s="12" t="n">
        <v>7</v>
      </c>
      <c r="W283" s="10">
        <f>K283*(T283+U283)</f>
        <v/>
      </c>
      <c r="X283" s="10">
        <f>K283*(T283+U283+V283)</f>
        <v/>
      </c>
      <c r="Y283" s="10">
        <f>IF(K283&gt;0,H283/K283,99999)</f>
        <v/>
      </c>
      <c r="Z283" s="8">
        <f>IF(AND(OR(L283&gt;=1,M283&lt;0.95),Y283&gt;120),"DATA CONFLICT - VERIFY",IF(OR(L283&gt;=1,M283&lt;0.95,Y283&lt;=14),"SERVICE / STOCKOUT REVIEW",IF(Y283&gt;120,"OVERSTOCK REVIEW",IF(S283&lt;=W283,"REPLENISHMENT REVIEW","NORMAL MONITORING"))))</f>
        <v/>
      </c>
      <c r="AA283" s="9">
        <f>IF(OR(Z283="DATA CONFLICT - VERIFY",Z283="SERVICE / STOCKOUT REVIEW"),0,IF(S283&lt;=W283,MAX(0,ROUNDUP(X283-S283,0)),0))</f>
        <v/>
      </c>
      <c r="AB283" s="8">
        <f>IF(Z283="DATA CONFLICT - VERIFY","P1 - DATA CONFLICT",IF(Z283="SERVICE / STOCKOUT REVIEW","P1 - SERVICE",IF(Z283="OVERSTOCK REVIEW","P2 - OVERSTOCK",IF(Z283="REPLENISHMENT REVIEW","P2 - REPLENISH","P3 - MONITOR"))))</f>
        <v/>
      </c>
      <c r="AC283" s="10" t="n">
        <v>11232.97640732265</v>
      </c>
      <c r="AD283" s="10" t="n">
        <v>10671.32758695652</v>
      </c>
      <c r="AE283" s="10">
        <f>IF(OR(AD283="",H283=""),"",H283*AD283)</f>
        <v/>
      </c>
    </row>
    <row r="284">
      <c r="A284" s="13" t="inlineStr">
        <is>
          <t>2022-12-31</t>
        </is>
      </c>
      <c r="B284" s="13" t="n">
        <v>476</v>
      </c>
      <c r="C284" s="14" t="inlineStr">
        <is>
          <t>SaigonFlex UM-81</t>
        </is>
      </c>
      <c r="D284" s="14" t="inlineStr">
        <is>
          <t>Streetwear</t>
        </is>
      </c>
      <c r="E284" s="13" t="inlineStr">
        <is>
          <t>Balanced</t>
        </is>
      </c>
      <c r="F284" s="13" t="inlineStr">
        <is>
          <t>S</t>
        </is>
      </c>
      <c r="G284" s="13" t="inlineStr">
        <is>
          <t>green</t>
        </is>
      </c>
      <c r="H284" s="15" t="n">
        <v>47</v>
      </c>
      <c r="I284" s="15" t="n">
        <v>3</v>
      </c>
      <c r="J284" s="16" t="n">
        <v>3</v>
      </c>
      <c r="K284" s="16">
        <f>IFERROR(J284/30,0)</f>
        <v/>
      </c>
      <c r="L284" s="15" t="n">
        <v>2</v>
      </c>
      <c r="M284" s="17" t="n">
        <v>0.9333</v>
      </c>
      <c r="N284" s="15" t="n">
        <v>1</v>
      </c>
      <c r="O284" s="15" t="n">
        <v>1</v>
      </c>
      <c r="P284" s="15" t="n">
        <v>0</v>
      </c>
      <c r="Q284" s="12" t="n">
        <v>0</v>
      </c>
      <c r="R284" s="12" t="n">
        <v>0</v>
      </c>
      <c r="S284" s="15">
        <f>H284+Q284-R284</f>
        <v/>
      </c>
      <c r="T284" s="12" t="n">
        <v>14</v>
      </c>
      <c r="U284" s="12" t="n">
        <v>7</v>
      </c>
      <c r="V284" s="12" t="n">
        <v>7</v>
      </c>
      <c r="W284" s="16">
        <f>K284*(T284+U284)</f>
        <v/>
      </c>
      <c r="X284" s="16">
        <f>K284*(T284+U284+V284)</f>
        <v/>
      </c>
      <c r="Y284" s="16">
        <f>IF(K284&gt;0,H284/K284,99999)</f>
        <v/>
      </c>
      <c r="Z284" s="14">
        <f>IF(AND(OR(L284&gt;=1,M284&lt;0.95),Y284&gt;120),"DATA CONFLICT - VERIFY",IF(OR(L284&gt;=1,M284&lt;0.95,Y284&lt;=14),"SERVICE / STOCKOUT REVIEW",IF(Y284&gt;120,"OVERSTOCK REVIEW",IF(S284&lt;=W284,"REPLENISHMENT REVIEW","NORMAL MONITORING"))))</f>
        <v/>
      </c>
      <c r="AA284" s="15">
        <f>IF(OR(Z284="DATA CONFLICT - VERIFY",Z284="SERVICE / STOCKOUT REVIEW"),0,IF(S284&lt;=W284,MAX(0,ROUNDUP(X284-S284,0)),0))</f>
        <v/>
      </c>
      <c r="AB284" s="14">
        <f>IF(Z284="DATA CONFLICT - VERIFY","P1 - DATA CONFLICT",IF(Z284="SERVICE / STOCKOUT REVIEW","P1 - SERVICE",IF(Z284="OVERSTOCK REVIEW","P2 - OVERSTOCK",IF(Z284="REPLENISHMENT REVIEW","P2 - REPLENISH","P3 - MONITOR"))))</f>
        <v/>
      </c>
      <c r="AC284" s="16" t="n">
        <v>23472.73046511628</v>
      </c>
      <c r="AD284" s="16" t="n">
        <v>14022.60917986046</v>
      </c>
      <c r="AE284" s="16">
        <f>IF(OR(AD284="",H284=""),"",H284*AD284)</f>
        <v/>
      </c>
    </row>
    <row r="285">
      <c r="A285" s="7" t="inlineStr">
        <is>
          <t>2022-12-31</t>
        </is>
      </c>
      <c r="B285" s="7" t="n">
        <v>483</v>
      </c>
      <c r="C285" s="8" t="inlineStr">
        <is>
          <t>SaigonFlex UM-88</t>
        </is>
      </c>
      <c r="D285" s="8" t="inlineStr">
        <is>
          <t>Streetwear</t>
        </is>
      </c>
      <c r="E285" s="7" t="inlineStr">
        <is>
          <t>Balanced</t>
        </is>
      </c>
      <c r="F285" s="7" t="inlineStr">
        <is>
          <t>XL</t>
        </is>
      </c>
      <c r="G285" s="7" t="inlineStr">
        <is>
          <t>blue</t>
        </is>
      </c>
      <c r="H285" s="9" t="n">
        <v>12</v>
      </c>
      <c r="I285" s="9" t="n">
        <v>5</v>
      </c>
      <c r="J285" s="10" t="n">
        <v>6</v>
      </c>
      <c r="K285" s="10">
        <f>IFERROR(J285/30,0)</f>
        <v/>
      </c>
      <c r="L285" s="9" t="n">
        <v>1</v>
      </c>
      <c r="M285" s="11" t="n">
        <v>0.9667</v>
      </c>
      <c r="N285" s="9" t="n">
        <v>1</v>
      </c>
      <c r="O285" s="9" t="n">
        <v>0</v>
      </c>
      <c r="P285" s="9" t="n">
        <v>0</v>
      </c>
      <c r="Q285" s="12" t="n">
        <v>0</v>
      </c>
      <c r="R285" s="12" t="n">
        <v>0</v>
      </c>
      <c r="S285" s="9">
        <f>H285+Q285-R285</f>
        <v/>
      </c>
      <c r="T285" s="12" t="n">
        <v>14</v>
      </c>
      <c r="U285" s="12" t="n">
        <v>7</v>
      </c>
      <c r="V285" s="12" t="n">
        <v>7</v>
      </c>
      <c r="W285" s="10">
        <f>K285*(T285+U285)</f>
        <v/>
      </c>
      <c r="X285" s="10">
        <f>K285*(T285+U285+V285)</f>
        <v/>
      </c>
      <c r="Y285" s="10">
        <f>IF(K285&gt;0,H285/K285,99999)</f>
        <v/>
      </c>
      <c r="Z285" s="8">
        <f>IF(AND(OR(L285&gt;=1,M285&lt;0.95),Y285&gt;120),"DATA CONFLICT - VERIFY",IF(OR(L285&gt;=1,M285&lt;0.95,Y285&lt;=14),"SERVICE / STOCKOUT REVIEW",IF(Y285&gt;120,"OVERSTOCK REVIEW",IF(S285&lt;=W285,"REPLENISHMENT REVIEW","NORMAL MONITORING"))))</f>
        <v/>
      </c>
      <c r="AA285" s="9">
        <f>IF(OR(Z285="DATA CONFLICT - VERIFY",Z285="SERVICE / STOCKOUT REVIEW"),0,IF(S285&lt;=W285,MAX(0,ROUNDUP(X285-S285,0)),0))</f>
        <v/>
      </c>
      <c r="AB285" s="8">
        <f>IF(Z285="DATA CONFLICT - VERIFY","P1 - DATA CONFLICT",IF(Z285="SERVICE / STOCKOUT REVIEW","P1 - SERVICE",IF(Z285="OVERSTOCK REVIEW","P2 - OVERSTOCK",IF(Z285="REPLENISHMENT REVIEW","P2 - REPLENISH","P3 - MONITOR"))))</f>
        <v/>
      </c>
      <c r="AC285" s="10" t="n">
        <v>19535.01179104478</v>
      </c>
      <c r="AD285" s="10" t="n">
        <v>18558.26120149254</v>
      </c>
      <c r="AE285" s="10">
        <f>IF(OR(AD285="",H285=""),"",H285*AD285)</f>
        <v/>
      </c>
    </row>
    <row r="286">
      <c r="A286" s="13" t="inlineStr">
        <is>
          <t>2022-12-31</t>
        </is>
      </c>
      <c r="B286" s="13" t="n">
        <v>489</v>
      </c>
      <c r="C286" s="14" t="inlineStr">
        <is>
          <t>SaigonFlex UM-94</t>
        </is>
      </c>
      <c r="D286" s="14" t="inlineStr">
        <is>
          <t>Streetwear</t>
        </is>
      </c>
      <c r="E286" s="13" t="inlineStr">
        <is>
          <t>Balanced</t>
        </is>
      </c>
      <c r="F286" s="13" t="inlineStr">
        <is>
          <t>M</t>
        </is>
      </c>
      <c r="G286" s="13" t="inlineStr">
        <is>
          <t>yellow</t>
        </is>
      </c>
      <c r="H286" s="15" t="n">
        <v>130</v>
      </c>
      <c r="I286" s="15" t="n">
        <v>4</v>
      </c>
      <c r="J286" s="16" t="n">
        <v>4.333333333333333</v>
      </c>
      <c r="K286" s="16">
        <f>IFERROR(J286/30,0)</f>
        <v/>
      </c>
      <c r="L286" s="15" t="n">
        <v>0</v>
      </c>
      <c r="M286" s="17" t="n">
        <v>1</v>
      </c>
      <c r="N286" s="15" t="n">
        <v>0</v>
      </c>
      <c r="O286" s="15" t="n">
        <v>1</v>
      </c>
      <c r="P286" s="15" t="n">
        <v>0</v>
      </c>
      <c r="Q286" s="12" t="n">
        <v>0</v>
      </c>
      <c r="R286" s="12" t="n">
        <v>0</v>
      </c>
      <c r="S286" s="15">
        <f>H286+Q286-R286</f>
        <v/>
      </c>
      <c r="T286" s="12" t="n">
        <v>14</v>
      </c>
      <c r="U286" s="12" t="n">
        <v>7</v>
      </c>
      <c r="V286" s="12" t="n">
        <v>7</v>
      </c>
      <c r="W286" s="16">
        <f>K286*(T286+U286)</f>
        <v/>
      </c>
      <c r="X286" s="16">
        <f>K286*(T286+U286+V286)</f>
        <v/>
      </c>
      <c r="Y286" s="16">
        <f>IF(K286&gt;0,H286/K286,99999)</f>
        <v/>
      </c>
      <c r="Z286" s="14">
        <f>IF(AND(OR(L286&gt;=1,M286&lt;0.95),Y286&gt;120),"DATA CONFLICT - VERIFY",IF(OR(L286&gt;=1,M286&lt;0.95,Y286&lt;=14),"SERVICE / STOCKOUT REVIEW",IF(Y286&gt;120,"OVERSTOCK REVIEW",IF(S286&lt;=W286,"REPLENISHMENT REVIEW","NORMAL MONITORING"))))</f>
        <v/>
      </c>
      <c r="AA286" s="15">
        <f>IF(OR(Z286="DATA CONFLICT - VERIFY",Z286="SERVICE / STOCKOUT REVIEW"),0,IF(S286&lt;=W286,MAX(0,ROUNDUP(X286-S286,0)),0))</f>
        <v/>
      </c>
      <c r="AB286" s="14">
        <f>IF(Z286="DATA CONFLICT - VERIFY","P1 - DATA CONFLICT",IF(Z286="SERVICE / STOCKOUT REVIEW","P1 - SERVICE",IF(Z286="OVERSTOCK REVIEW","P2 - OVERSTOCK",IF(Z286="REPLENISHMENT REVIEW","P2 - REPLENISH","P3 - MONITOR"))))</f>
        <v/>
      </c>
      <c r="AC286" s="16" t="n">
        <v>10349.29043076923</v>
      </c>
      <c r="AD286" s="16" t="n">
        <v>7115.137171153847</v>
      </c>
      <c r="AE286" s="16">
        <f>IF(OR(AD286="",H286=""),"",H286*AD286)</f>
        <v/>
      </c>
    </row>
    <row r="287">
      <c r="A287" s="7" t="inlineStr">
        <is>
          <t>2022-12-31</t>
        </is>
      </c>
      <c r="B287" s="7" t="n">
        <v>505</v>
      </c>
      <c r="C287" s="8" t="inlineStr">
        <is>
          <t>SaigonFlex UM-10</t>
        </is>
      </c>
      <c r="D287" s="8" t="inlineStr">
        <is>
          <t>Streetwear</t>
        </is>
      </c>
      <c r="E287" s="7" t="inlineStr">
        <is>
          <t>Balanced</t>
        </is>
      </c>
      <c r="F287" s="7" t="inlineStr">
        <is>
          <t>M</t>
        </is>
      </c>
      <c r="G287" s="7" t="inlineStr">
        <is>
          <t>purple</t>
        </is>
      </c>
      <c r="H287" s="9" t="n">
        <v>16</v>
      </c>
      <c r="I287" s="9" t="n">
        <v>18</v>
      </c>
      <c r="J287" s="10" t="n">
        <v>16.66666666666667</v>
      </c>
      <c r="K287" s="10">
        <f>IFERROR(J287/30,0)</f>
        <v/>
      </c>
      <c r="L287" s="9" t="n">
        <v>4</v>
      </c>
      <c r="M287" s="11" t="n">
        <v>0.8667</v>
      </c>
      <c r="N287" s="9" t="n">
        <v>1</v>
      </c>
      <c r="O287" s="9" t="n">
        <v>0</v>
      </c>
      <c r="P287" s="9" t="n">
        <v>0</v>
      </c>
      <c r="Q287" s="12" t="n">
        <v>0</v>
      </c>
      <c r="R287" s="12" t="n">
        <v>0</v>
      </c>
      <c r="S287" s="9">
        <f>H287+Q287-R287</f>
        <v/>
      </c>
      <c r="T287" s="12" t="n">
        <v>14</v>
      </c>
      <c r="U287" s="12" t="n">
        <v>7</v>
      </c>
      <c r="V287" s="12" t="n">
        <v>7</v>
      </c>
      <c r="W287" s="10">
        <f>K287*(T287+U287)</f>
        <v/>
      </c>
      <c r="X287" s="10">
        <f>K287*(T287+U287+V287)</f>
        <v/>
      </c>
      <c r="Y287" s="10">
        <f>IF(K287&gt;0,H287/K287,99999)</f>
        <v/>
      </c>
      <c r="Z287" s="8">
        <f>IF(AND(OR(L287&gt;=1,M287&lt;0.95),Y287&gt;120),"DATA CONFLICT - VERIFY",IF(OR(L287&gt;=1,M287&lt;0.95,Y287&lt;=14),"SERVICE / STOCKOUT REVIEW",IF(Y287&gt;120,"OVERSTOCK REVIEW",IF(S287&lt;=W287,"REPLENISHMENT REVIEW","NORMAL MONITORING"))))</f>
        <v/>
      </c>
      <c r="AA287" s="9">
        <f>IF(OR(Z287="DATA CONFLICT - VERIFY",Z287="SERVICE / STOCKOUT REVIEW"),0,IF(S287&lt;=W287,MAX(0,ROUNDUP(X287-S287,0)),0))</f>
        <v/>
      </c>
      <c r="AB287" s="8">
        <f>IF(Z287="DATA CONFLICT - VERIFY","P1 - DATA CONFLICT",IF(Z287="SERVICE / STOCKOUT REVIEW","P1 - SERVICE",IF(Z287="OVERSTOCK REVIEW","P2 - OVERSTOCK",IF(Z287="REPLENISHMENT REVIEW","P2 - REPLENISH","P3 - MONITOR"))))</f>
        <v/>
      </c>
      <c r="AC287" s="10" t="n">
        <v>23693.57689655172</v>
      </c>
      <c r="AD287" s="10" t="n">
        <v>17609.06634951724</v>
      </c>
      <c r="AE287" s="10">
        <f>IF(OR(AD287="",H287=""),"",H287*AD287)</f>
        <v/>
      </c>
    </row>
    <row r="288">
      <c r="A288" s="13" t="inlineStr">
        <is>
          <t>2022-12-31</t>
        </is>
      </c>
      <c r="B288" s="13" t="n">
        <v>506</v>
      </c>
      <c r="C288" s="14" t="inlineStr">
        <is>
          <t>SaigonFlex UM-11</t>
        </is>
      </c>
      <c r="D288" s="14" t="inlineStr">
        <is>
          <t>Streetwear</t>
        </is>
      </c>
      <c r="E288" s="13" t="inlineStr">
        <is>
          <t>Balanced</t>
        </is>
      </c>
      <c r="F288" s="13" t="inlineStr">
        <is>
          <t>L</t>
        </is>
      </c>
      <c r="G288" s="13" t="inlineStr">
        <is>
          <t>green</t>
        </is>
      </c>
      <c r="H288" s="15" t="n">
        <v>1128</v>
      </c>
      <c r="I288" s="15" t="n">
        <v>44</v>
      </c>
      <c r="J288" s="16" t="n">
        <v>52.33333333333334</v>
      </c>
      <c r="K288" s="16">
        <f>IFERROR(J288/30,0)</f>
        <v/>
      </c>
      <c r="L288" s="15" t="n">
        <v>1</v>
      </c>
      <c r="M288" s="17" t="n">
        <v>0.9667</v>
      </c>
      <c r="N288" s="15" t="n">
        <v>1</v>
      </c>
      <c r="O288" s="15" t="n">
        <v>1</v>
      </c>
      <c r="P288" s="15" t="n">
        <v>0</v>
      </c>
      <c r="Q288" s="12" t="n">
        <v>0</v>
      </c>
      <c r="R288" s="12" t="n">
        <v>0</v>
      </c>
      <c r="S288" s="15">
        <f>H288+Q288-R288</f>
        <v/>
      </c>
      <c r="T288" s="12" t="n">
        <v>14</v>
      </c>
      <c r="U288" s="12" t="n">
        <v>7</v>
      </c>
      <c r="V288" s="12" t="n">
        <v>7</v>
      </c>
      <c r="W288" s="16">
        <f>K288*(T288+U288)</f>
        <v/>
      </c>
      <c r="X288" s="16">
        <f>K288*(T288+U288+V288)</f>
        <v/>
      </c>
      <c r="Y288" s="16">
        <f>IF(K288&gt;0,H288/K288,99999)</f>
        <v/>
      </c>
      <c r="Z288" s="14">
        <f>IF(AND(OR(L288&gt;=1,M288&lt;0.95),Y288&gt;120),"DATA CONFLICT - VERIFY",IF(OR(L288&gt;=1,M288&lt;0.95,Y288&lt;=14),"SERVICE / STOCKOUT REVIEW",IF(Y288&gt;120,"OVERSTOCK REVIEW",IF(S288&lt;=W288,"REPLENISHMENT REVIEW","NORMAL MONITORING"))))</f>
        <v/>
      </c>
      <c r="AA288" s="15">
        <f>IF(OR(Z288="DATA CONFLICT - VERIFY",Z288="SERVICE / STOCKOUT REVIEW"),0,IF(S288&lt;=W288,MAX(0,ROUNDUP(X288-S288,0)),0))</f>
        <v/>
      </c>
      <c r="AB288" s="14">
        <f>IF(Z288="DATA CONFLICT - VERIFY","P1 - DATA CONFLICT",IF(Z288="SERVICE / STOCKOUT REVIEW","P1 - SERVICE",IF(Z288="OVERSTOCK REVIEW","P2 - OVERSTOCK",IF(Z288="REPLENISHMENT REVIEW","P2 - REPLENISH","P3 - MONITOR"))))</f>
        <v/>
      </c>
      <c r="AC288" s="16" t="n">
        <v>15456.90975265018</v>
      </c>
      <c r="AD288" s="16" t="n">
        <v>14463.03045555477</v>
      </c>
      <c r="AE288" s="16">
        <f>IF(OR(AD288="",H288=""),"",H288*AD288)</f>
        <v/>
      </c>
    </row>
    <row r="289">
      <c r="A289" s="7" t="inlineStr">
        <is>
          <t>2022-12-31</t>
        </is>
      </c>
      <c r="B289" s="7" t="n">
        <v>511</v>
      </c>
      <c r="C289" s="8" t="inlineStr">
        <is>
          <t>SaigonFlex UM-16</t>
        </is>
      </c>
      <c r="D289" s="8" t="inlineStr">
        <is>
          <t>Streetwear</t>
        </is>
      </c>
      <c r="E289" s="7" t="inlineStr">
        <is>
          <t>Balanced</t>
        </is>
      </c>
      <c r="F289" s="7" t="inlineStr">
        <is>
          <t>XL</t>
        </is>
      </c>
      <c r="G289" s="7" t="inlineStr">
        <is>
          <t>black</t>
        </is>
      </c>
      <c r="H289" s="9" t="n">
        <v>87</v>
      </c>
      <c r="I289" s="9" t="n">
        <v>9</v>
      </c>
      <c r="J289" s="10" t="n">
        <v>12.66666666666667</v>
      </c>
      <c r="K289" s="10">
        <f>IFERROR(J289/30,0)</f>
        <v/>
      </c>
      <c r="L289" s="9" t="n">
        <v>1</v>
      </c>
      <c r="M289" s="11" t="n">
        <v>0.9667</v>
      </c>
      <c r="N289" s="9" t="n">
        <v>1</v>
      </c>
      <c r="O289" s="9" t="n">
        <v>1</v>
      </c>
      <c r="P289" s="9" t="n">
        <v>0</v>
      </c>
      <c r="Q289" s="12" t="n">
        <v>0</v>
      </c>
      <c r="R289" s="12" t="n">
        <v>0</v>
      </c>
      <c r="S289" s="9">
        <f>H289+Q289-R289</f>
        <v/>
      </c>
      <c r="T289" s="12" t="n">
        <v>14</v>
      </c>
      <c r="U289" s="12" t="n">
        <v>7</v>
      </c>
      <c r="V289" s="12" t="n">
        <v>7</v>
      </c>
      <c r="W289" s="10">
        <f>K289*(T289+U289)</f>
        <v/>
      </c>
      <c r="X289" s="10">
        <f>K289*(T289+U289+V289)</f>
        <v/>
      </c>
      <c r="Y289" s="10">
        <f>IF(K289&gt;0,H289/K289,99999)</f>
        <v/>
      </c>
      <c r="Z289" s="8">
        <f>IF(AND(OR(L289&gt;=1,M289&lt;0.95),Y289&gt;120),"DATA CONFLICT - VERIFY",IF(OR(L289&gt;=1,M289&lt;0.95,Y289&lt;=14),"SERVICE / STOCKOUT REVIEW",IF(Y289&gt;120,"OVERSTOCK REVIEW",IF(S289&lt;=W289,"REPLENISHMENT REVIEW","NORMAL MONITORING"))))</f>
        <v/>
      </c>
      <c r="AA289" s="9">
        <f>IF(OR(Z289="DATA CONFLICT - VERIFY",Z289="SERVICE / STOCKOUT REVIEW"),0,IF(S289&lt;=W289,MAX(0,ROUNDUP(X289-S289,0)),0))</f>
        <v/>
      </c>
      <c r="AB289" s="8">
        <f>IF(Z289="DATA CONFLICT - VERIFY","P1 - DATA CONFLICT",IF(Z289="SERVICE / STOCKOUT REVIEW","P1 - SERVICE",IF(Z289="OVERSTOCK REVIEW","P2 - OVERSTOCK",IF(Z289="REPLENISHMENT REVIEW","P2 - REPLENISH","P3 - MONITOR"))))</f>
        <v/>
      </c>
      <c r="AC289" s="10" t="n">
        <v>20805.12</v>
      </c>
      <c r="AD289" s="10" t="n">
        <v>13741.78176</v>
      </c>
      <c r="AE289" s="10">
        <f>IF(OR(AD289="",H289=""),"",H289*AD289)</f>
        <v/>
      </c>
    </row>
    <row r="290">
      <c r="A290" s="13" t="inlineStr">
        <is>
          <t>2022-12-31</t>
        </is>
      </c>
      <c r="B290" s="13" t="n">
        <v>537</v>
      </c>
      <c r="C290" s="14" t="inlineStr">
        <is>
          <t>SaigonFlex UC-02</t>
        </is>
      </c>
      <c r="D290" s="14" t="inlineStr">
        <is>
          <t>Streetwear</t>
        </is>
      </c>
      <c r="E290" s="13" t="inlineStr">
        <is>
          <t>Everyday</t>
        </is>
      </c>
      <c r="F290" s="13" t="inlineStr">
        <is>
          <t>M</t>
        </is>
      </c>
      <c r="G290" s="13" t="inlineStr">
        <is>
          <t>silver</t>
        </is>
      </c>
      <c r="H290" s="15" t="n">
        <v>25</v>
      </c>
      <c r="I290" s="15" t="n">
        <v>3</v>
      </c>
      <c r="J290" s="16" t="n">
        <v>5</v>
      </c>
      <c r="K290" s="16">
        <f>IFERROR(J290/30,0)</f>
        <v/>
      </c>
      <c r="L290" s="15" t="n">
        <v>2</v>
      </c>
      <c r="M290" s="17" t="n">
        <v>0.9333</v>
      </c>
      <c r="N290" s="15" t="n">
        <v>1</v>
      </c>
      <c r="O290" s="15" t="n">
        <v>1</v>
      </c>
      <c r="P290" s="15" t="n">
        <v>0</v>
      </c>
      <c r="Q290" s="12" t="n">
        <v>0</v>
      </c>
      <c r="R290" s="12" t="n">
        <v>0</v>
      </c>
      <c r="S290" s="15">
        <f>H290+Q290-R290</f>
        <v/>
      </c>
      <c r="T290" s="12" t="n">
        <v>14</v>
      </c>
      <c r="U290" s="12" t="n">
        <v>7</v>
      </c>
      <c r="V290" s="12" t="n">
        <v>7</v>
      </c>
      <c r="W290" s="16">
        <f>K290*(T290+U290)</f>
        <v/>
      </c>
      <c r="X290" s="16">
        <f>K290*(T290+U290+V290)</f>
        <v/>
      </c>
      <c r="Y290" s="16">
        <f>IF(K290&gt;0,H290/K290,99999)</f>
        <v/>
      </c>
      <c r="Z290" s="14">
        <f>IF(AND(OR(L290&gt;=1,M290&lt;0.95),Y290&gt;120),"DATA CONFLICT - VERIFY",IF(OR(L290&gt;=1,M290&lt;0.95,Y290&lt;=14),"SERVICE / STOCKOUT REVIEW",IF(Y290&gt;120,"OVERSTOCK REVIEW",IF(S290&lt;=W290,"REPLENISHMENT REVIEW","NORMAL MONITORING"))))</f>
        <v/>
      </c>
      <c r="AA290" s="15">
        <f>IF(OR(Z290="DATA CONFLICT - VERIFY",Z290="SERVICE / STOCKOUT REVIEW"),0,IF(S290&lt;=W290,MAX(0,ROUNDUP(X290-S290,0)),0))</f>
        <v/>
      </c>
      <c r="AB290" s="14">
        <f>IF(Z290="DATA CONFLICT - VERIFY","P1 - DATA CONFLICT",IF(Z290="SERVICE / STOCKOUT REVIEW","P1 - SERVICE",IF(Z290="OVERSTOCK REVIEW","P2 - OVERSTOCK",IF(Z290="REPLENISHMENT REVIEW","P2 - REPLENISH","P3 - MONITOR"))))</f>
        <v/>
      </c>
      <c r="AC290" s="16" t="n">
        <v>9523.076012658228</v>
      </c>
      <c r="AD290" s="16" t="n">
        <v>5393.87025356962</v>
      </c>
      <c r="AE290" s="16">
        <f>IF(OR(AD290="",H290=""),"",H290*AD290)</f>
        <v/>
      </c>
    </row>
    <row r="291">
      <c r="A291" s="7" t="inlineStr">
        <is>
          <t>2022-12-31</t>
        </is>
      </c>
      <c r="B291" s="7" t="n">
        <v>545</v>
      </c>
      <c r="C291" s="8" t="inlineStr">
        <is>
          <t>SaigonFlex UC-10</t>
        </is>
      </c>
      <c r="D291" s="8" t="inlineStr">
        <is>
          <t>Streetwear</t>
        </is>
      </c>
      <c r="E291" s="7" t="inlineStr">
        <is>
          <t>Everyday</t>
        </is>
      </c>
      <c r="F291" s="7" t="inlineStr">
        <is>
          <t>M</t>
        </is>
      </c>
      <c r="G291" s="7" t="inlineStr">
        <is>
          <t>purple</t>
        </is>
      </c>
      <c r="H291" s="9" t="n">
        <v>139</v>
      </c>
      <c r="I291" s="9" t="n">
        <v>12</v>
      </c>
      <c r="J291" s="10" t="n">
        <v>11</v>
      </c>
      <c r="K291" s="10">
        <f>IFERROR(J291/30,0)</f>
        <v/>
      </c>
      <c r="L291" s="9" t="n">
        <v>1</v>
      </c>
      <c r="M291" s="11" t="n">
        <v>0.9667</v>
      </c>
      <c r="N291" s="9" t="n">
        <v>1</v>
      </c>
      <c r="O291" s="9" t="n">
        <v>1</v>
      </c>
      <c r="P291" s="9" t="n">
        <v>0</v>
      </c>
      <c r="Q291" s="12" t="n">
        <v>0</v>
      </c>
      <c r="R291" s="12" t="n">
        <v>0</v>
      </c>
      <c r="S291" s="9">
        <f>H291+Q291-R291</f>
        <v/>
      </c>
      <c r="T291" s="12" t="n">
        <v>14</v>
      </c>
      <c r="U291" s="12" t="n">
        <v>7</v>
      </c>
      <c r="V291" s="12" t="n">
        <v>7</v>
      </c>
      <c r="W291" s="10">
        <f>K291*(T291+U291)</f>
        <v/>
      </c>
      <c r="X291" s="10">
        <f>K291*(T291+U291+V291)</f>
        <v/>
      </c>
      <c r="Y291" s="10">
        <f>IF(K291&gt;0,H291/K291,99999)</f>
        <v/>
      </c>
      <c r="Z291" s="8">
        <f>IF(AND(OR(L291&gt;=1,M291&lt;0.95),Y291&gt;120),"DATA CONFLICT - VERIFY",IF(OR(L291&gt;=1,M291&lt;0.95,Y291&lt;=14),"SERVICE / STOCKOUT REVIEW",IF(Y291&gt;120,"OVERSTOCK REVIEW",IF(S291&lt;=W291,"REPLENISHMENT REVIEW","NORMAL MONITORING"))))</f>
        <v/>
      </c>
      <c r="AA291" s="9">
        <f>IF(OR(Z291="DATA CONFLICT - VERIFY",Z291="SERVICE / STOCKOUT REVIEW"),0,IF(S291&lt;=W291,MAX(0,ROUNDUP(X291-S291,0)),0))</f>
        <v/>
      </c>
      <c r="AB291" s="8">
        <f>IF(Z291="DATA CONFLICT - VERIFY","P1 - DATA CONFLICT",IF(Z291="SERVICE / STOCKOUT REVIEW","P1 - SERVICE",IF(Z291="OVERSTOCK REVIEW","P2 - OVERSTOCK",IF(Z291="REPLENISHMENT REVIEW","P2 - REPLENISH","P3 - MONITOR"))))</f>
        <v/>
      </c>
      <c r="AC291" s="10" t="n">
        <v>10045.67841121495</v>
      </c>
      <c r="AD291" s="10" t="n">
        <v>9091.338962149532</v>
      </c>
      <c r="AE291" s="10">
        <f>IF(OR(AD291="",H291=""),"",H291*AD291)</f>
        <v/>
      </c>
    </row>
    <row r="292">
      <c r="A292" s="13" t="inlineStr">
        <is>
          <t>2022-12-31</t>
        </is>
      </c>
      <c r="B292" s="13" t="n">
        <v>547</v>
      </c>
      <c r="C292" s="14" t="inlineStr">
        <is>
          <t>SaigonFlex UC-12</t>
        </is>
      </c>
      <c r="D292" s="14" t="inlineStr">
        <is>
          <t>Streetwear</t>
        </is>
      </c>
      <c r="E292" s="13" t="inlineStr">
        <is>
          <t>Everyday</t>
        </is>
      </c>
      <c r="F292" s="13" t="inlineStr">
        <is>
          <t>XL</t>
        </is>
      </c>
      <c r="G292" s="13" t="inlineStr">
        <is>
          <t>silver</t>
        </is>
      </c>
      <c r="H292" s="15" t="n">
        <v>21</v>
      </c>
      <c r="I292" s="15" t="n">
        <v>3</v>
      </c>
      <c r="J292" s="16" t="n">
        <v>3.666666666666667</v>
      </c>
      <c r="K292" s="16">
        <f>IFERROR(J292/30,0)</f>
        <v/>
      </c>
      <c r="L292" s="15" t="n">
        <v>0</v>
      </c>
      <c r="M292" s="17" t="n">
        <v>1</v>
      </c>
      <c r="N292" s="15" t="n">
        <v>0</v>
      </c>
      <c r="O292" s="15" t="n">
        <v>1</v>
      </c>
      <c r="P292" s="15" t="n">
        <v>0</v>
      </c>
      <c r="Q292" s="12" t="n">
        <v>0</v>
      </c>
      <c r="R292" s="12" t="n">
        <v>0</v>
      </c>
      <c r="S292" s="15">
        <f>H292+Q292-R292</f>
        <v/>
      </c>
      <c r="T292" s="12" t="n">
        <v>14</v>
      </c>
      <c r="U292" s="12" t="n">
        <v>7</v>
      </c>
      <c r="V292" s="12" t="n">
        <v>7</v>
      </c>
      <c r="W292" s="16">
        <f>K292*(T292+U292)</f>
        <v/>
      </c>
      <c r="X292" s="16">
        <f>K292*(T292+U292+V292)</f>
        <v/>
      </c>
      <c r="Y292" s="16">
        <f>IF(K292&gt;0,H292/K292,99999)</f>
        <v/>
      </c>
      <c r="Z292" s="14">
        <f>IF(AND(OR(L292&gt;=1,M292&lt;0.95),Y292&gt;120),"DATA CONFLICT - VERIFY",IF(OR(L292&gt;=1,M292&lt;0.95,Y292&lt;=14),"SERVICE / STOCKOUT REVIEW",IF(Y292&gt;120,"OVERSTOCK REVIEW",IF(S292&lt;=W292,"REPLENISHMENT REVIEW","NORMAL MONITORING"))))</f>
        <v/>
      </c>
      <c r="AA292" s="15">
        <f>IF(OR(Z292="DATA CONFLICT - VERIFY",Z292="SERVICE / STOCKOUT REVIEW"),0,IF(S292&lt;=W292,MAX(0,ROUNDUP(X292-S292,0)),0))</f>
        <v/>
      </c>
      <c r="AB292" s="14">
        <f>IF(Z292="DATA CONFLICT - VERIFY","P1 - DATA CONFLICT",IF(Z292="SERVICE / STOCKOUT REVIEW","P1 - SERVICE",IF(Z292="OVERSTOCK REVIEW","P2 - OVERSTOCK",IF(Z292="REPLENISHMENT REVIEW","P2 - REPLENISH","P3 - MONITOR"))))</f>
        <v/>
      </c>
      <c r="AC292" s="16" t="n">
        <v>6544.421470588235</v>
      </c>
      <c r="AD292" s="16" t="n">
        <v>4298.376021882353</v>
      </c>
      <c r="AE292" s="16">
        <f>IF(OR(AD292="",H292=""),"",H292*AD292)</f>
        <v/>
      </c>
    </row>
    <row r="293">
      <c r="A293" s="7" t="inlineStr">
        <is>
          <t>2022-12-31</t>
        </is>
      </c>
      <c r="B293" s="7" t="n">
        <v>548</v>
      </c>
      <c r="C293" s="8" t="inlineStr">
        <is>
          <t>SaigonFlex UC-13</t>
        </is>
      </c>
      <c r="D293" s="8" t="inlineStr">
        <is>
          <t>Streetwear</t>
        </is>
      </c>
      <c r="E293" s="7" t="inlineStr">
        <is>
          <t>Everyday</t>
        </is>
      </c>
      <c r="F293" s="7" t="inlineStr">
        <is>
          <t>S</t>
        </is>
      </c>
      <c r="G293" s="7" t="inlineStr">
        <is>
          <t>pink</t>
        </is>
      </c>
      <c r="H293" s="9" t="n">
        <v>776</v>
      </c>
      <c r="I293" s="9" t="n">
        <v>4</v>
      </c>
      <c r="J293" s="10" t="n">
        <v>5.333333333333333</v>
      </c>
      <c r="K293" s="10">
        <f>IFERROR(J293/30,0)</f>
        <v/>
      </c>
      <c r="L293" s="9" t="n">
        <v>1</v>
      </c>
      <c r="M293" s="11" t="n">
        <v>0.9667</v>
      </c>
      <c r="N293" s="9" t="n">
        <v>1</v>
      </c>
      <c r="O293" s="9" t="n">
        <v>1</v>
      </c>
      <c r="P293" s="9" t="n">
        <v>0</v>
      </c>
      <c r="Q293" s="12" t="n">
        <v>0</v>
      </c>
      <c r="R293" s="12" t="n">
        <v>0</v>
      </c>
      <c r="S293" s="9">
        <f>H293+Q293-R293</f>
        <v/>
      </c>
      <c r="T293" s="12" t="n">
        <v>14</v>
      </c>
      <c r="U293" s="12" t="n">
        <v>7</v>
      </c>
      <c r="V293" s="12" t="n">
        <v>7</v>
      </c>
      <c r="W293" s="10">
        <f>K293*(T293+U293)</f>
        <v/>
      </c>
      <c r="X293" s="10">
        <f>K293*(T293+U293+V293)</f>
        <v/>
      </c>
      <c r="Y293" s="10">
        <f>IF(K293&gt;0,H293/K293,99999)</f>
        <v/>
      </c>
      <c r="Z293" s="8">
        <f>IF(AND(OR(L293&gt;=1,M293&lt;0.95),Y293&gt;120),"DATA CONFLICT - VERIFY",IF(OR(L293&gt;=1,M293&lt;0.95,Y293&lt;=14),"SERVICE / STOCKOUT REVIEW",IF(Y293&gt;120,"OVERSTOCK REVIEW",IF(S293&lt;=W293,"REPLENISHMENT REVIEW","NORMAL MONITORING"))))</f>
        <v/>
      </c>
      <c r="AA293" s="9">
        <f>IF(OR(Z293="DATA CONFLICT - VERIFY",Z293="SERVICE / STOCKOUT REVIEW"),0,IF(S293&lt;=W293,MAX(0,ROUNDUP(X293-S293,0)),0))</f>
        <v/>
      </c>
      <c r="AB293" s="8">
        <f>IF(Z293="DATA CONFLICT - VERIFY","P1 - DATA CONFLICT",IF(Z293="SERVICE / STOCKOUT REVIEW","P1 - SERVICE",IF(Z293="OVERSTOCK REVIEW","P2 - OVERSTOCK",IF(Z293="REPLENISHMENT REVIEW","P2 - REPLENISH","P3 - MONITOR"))))</f>
        <v/>
      </c>
      <c r="AC293" s="10" t="n">
        <v>6163.409553488373</v>
      </c>
      <c r="AD293" s="10" t="n">
        <v>4883.885730184186</v>
      </c>
      <c r="AE293" s="10">
        <f>IF(OR(AD293="",H293=""),"",H293*AD293)</f>
        <v/>
      </c>
    </row>
    <row r="294">
      <c r="A294" s="13" t="inlineStr">
        <is>
          <t>2022-12-31</t>
        </is>
      </c>
      <c r="B294" s="13" t="n">
        <v>549</v>
      </c>
      <c r="C294" s="14" t="inlineStr">
        <is>
          <t>SaigonFlex UC-14</t>
        </is>
      </c>
      <c r="D294" s="14" t="inlineStr">
        <is>
          <t>Streetwear</t>
        </is>
      </c>
      <c r="E294" s="13" t="inlineStr">
        <is>
          <t>Everyday</t>
        </is>
      </c>
      <c r="F294" s="13" t="inlineStr">
        <is>
          <t>M</t>
        </is>
      </c>
      <c r="G294" s="13" t="inlineStr">
        <is>
          <t>yellow</t>
        </is>
      </c>
      <c r="H294" s="15" t="n">
        <v>229</v>
      </c>
      <c r="I294" s="15" t="n">
        <v>18</v>
      </c>
      <c r="J294" s="16" t="n">
        <v>20.66666666666667</v>
      </c>
      <c r="K294" s="16">
        <f>IFERROR(J294/30,0)</f>
        <v/>
      </c>
      <c r="L294" s="15" t="n">
        <v>2</v>
      </c>
      <c r="M294" s="17" t="n">
        <v>0.9333</v>
      </c>
      <c r="N294" s="15" t="n">
        <v>1</v>
      </c>
      <c r="O294" s="15" t="n">
        <v>1</v>
      </c>
      <c r="P294" s="15" t="n">
        <v>0</v>
      </c>
      <c r="Q294" s="12" t="n">
        <v>0</v>
      </c>
      <c r="R294" s="12" t="n">
        <v>0</v>
      </c>
      <c r="S294" s="15">
        <f>H294+Q294-R294</f>
        <v/>
      </c>
      <c r="T294" s="12" t="n">
        <v>14</v>
      </c>
      <c r="U294" s="12" t="n">
        <v>7</v>
      </c>
      <c r="V294" s="12" t="n">
        <v>7</v>
      </c>
      <c r="W294" s="16">
        <f>K294*(T294+U294)</f>
        <v/>
      </c>
      <c r="X294" s="16">
        <f>K294*(T294+U294+V294)</f>
        <v/>
      </c>
      <c r="Y294" s="16">
        <f>IF(K294&gt;0,H294/K294,99999)</f>
        <v/>
      </c>
      <c r="Z294" s="14">
        <f>IF(AND(OR(L294&gt;=1,M294&lt;0.95),Y294&gt;120),"DATA CONFLICT - VERIFY",IF(OR(L294&gt;=1,M294&lt;0.95,Y294&lt;=14),"SERVICE / STOCKOUT REVIEW",IF(Y294&gt;120,"OVERSTOCK REVIEW",IF(S294&lt;=W294,"REPLENISHMENT REVIEW","NORMAL MONITORING"))))</f>
        <v/>
      </c>
      <c r="AA294" s="15">
        <f>IF(OR(Z294="DATA CONFLICT - VERIFY",Z294="SERVICE / STOCKOUT REVIEW"),0,IF(S294&lt;=W294,MAX(0,ROUNDUP(X294-S294,0)),0))</f>
        <v/>
      </c>
      <c r="AB294" s="14">
        <f>IF(Z294="DATA CONFLICT - VERIFY","P1 - DATA CONFLICT",IF(Z294="SERVICE / STOCKOUT REVIEW","P1 - SERVICE",IF(Z294="OVERSTOCK REVIEW","P2 - OVERSTOCK",IF(Z294="REPLENISHMENT REVIEW","P2 - REPLENISH","P3 - MONITOR"))))</f>
        <v/>
      </c>
      <c r="AC294" s="16" t="n">
        <v>6655.753057615516</v>
      </c>
      <c r="AD294" s="16" t="n">
        <v>5205.464466361095</v>
      </c>
      <c r="AE294" s="16">
        <f>IF(OR(AD294="",H294=""),"",H294*AD294)</f>
        <v/>
      </c>
    </row>
    <row r="295">
      <c r="A295" s="7" t="inlineStr">
        <is>
          <t>2022-12-31</t>
        </is>
      </c>
      <c r="B295" s="7" t="n">
        <v>555</v>
      </c>
      <c r="C295" s="8" t="inlineStr">
        <is>
          <t>SaigonFlex UC-20</t>
        </is>
      </c>
      <c r="D295" s="8" t="inlineStr">
        <is>
          <t>Streetwear</t>
        </is>
      </c>
      <c r="E295" s="7" t="inlineStr">
        <is>
          <t>Everyday</t>
        </is>
      </c>
      <c r="F295" s="7" t="inlineStr">
        <is>
          <t>XL</t>
        </is>
      </c>
      <c r="G295" s="7" t="inlineStr">
        <is>
          <t>purple</t>
        </is>
      </c>
      <c r="H295" s="9" t="n">
        <v>111</v>
      </c>
      <c r="I295" s="9" t="n">
        <v>11</v>
      </c>
      <c r="J295" s="10" t="n">
        <v>10.66666666666667</v>
      </c>
      <c r="K295" s="10">
        <f>IFERROR(J295/30,0)</f>
        <v/>
      </c>
      <c r="L295" s="9" t="n">
        <v>2</v>
      </c>
      <c r="M295" s="11" t="n">
        <v>0.9333</v>
      </c>
      <c r="N295" s="9" t="n">
        <v>1</v>
      </c>
      <c r="O295" s="9" t="n">
        <v>1</v>
      </c>
      <c r="P295" s="9" t="n">
        <v>0</v>
      </c>
      <c r="Q295" s="12" t="n">
        <v>0</v>
      </c>
      <c r="R295" s="12" t="n">
        <v>0</v>
      </c>
      <c r="S295" s="9">
        <f>H295+Q295-R295</f>
        <v/>
      </c>
      <c r="T295" s="12" t="n">
        <v>14</v>
      </c>
      <c r="U295" s="12" t="n">
        <v>7</v>
      </c>
      <c r="V295" s="12" t="n">
        <v>7</v>
      </c>
      <c r="W295" s="10">
        <f>K295*(T295+U295)</f>
        <v/>
      </c>
      <c r="X295" s="10">
        <f>K295*(T295+U295+V295)</f>
        <v/>
      </c>
      <c r="Y295" s="10">
        <f>IF(K295&gt;0,H295/K295,99999)</f>
        <v/>
      </c>
      <c r="Z295" s="8">
        <f>IF(AND(OR(L295&gt;=1,M295&lt;0.95),Y295&gt;120),"DATA CONFLICT - VERIFY",IF(OR(L295&gt;=1,M295&lt;0.95,Y295&lt;=14),"SERVICE / STOCKOUT REVIEW",IF(Y295&gt;120,"OVERSTOCK REVIEW",IF(S295&lt;=W295,"REPLENISHMENT REVIEW","NORMAL MONITORING"))))</f>
        <v/>
      </c>
      <c r="AA295" s="9">
        <f>IF(OR(Z295="DATA CONFLICT - VERIFY",Z295="SERVICE / STOCKOUT REVIEW"),0,IF(S295&lt;=W295,MAX(0,ROUNDUP(X295-S295,0)),0))</f>
        <v/>
      </c>
      <c r="AB295" s="8">
        <f>IF(Z295="DATA CONFLICT - VERIFY","P1 - DATA CONFLICT",IF(Z295="SERVICE / STOCKOUT REVIEW","P1 - SERVICE",IF(Z295="OVERSTOCK REVIEW","P2 - OVERSTOCK",IF(Z295="REPLENISHMENT REVIEW","P2 - REPLENISH","P3 - MONITOR"))))</f>
        <v/>
      </c>
      <c r="AC295" s="10" t="n">
        <v>10520.47899653979</v>
      </c>
      <c r="AD295" s="10" t="n">
        <v>9994.455046712805</v>
      </c>
      <c r="AE295" s="10">
        <f>IF(OR(AD295="",H295=""),"",H295*AD295)</f>
        <v/>
      </c>
    </row>
    <row r="296">
      <c r="A296" s="13" t="inlineStr">
        <is>
          <t>2022-12-31</t>
        </is>
      </c>
      <c r="B296" s="13" t="n">
        <v>563</v>
      </c>
      <c r="C296" s="14" t="inlineStr">
        <is>
          <t>SaigonFlex UC-28</t>
        </is>
      </c>
      <c r="D296" s="14" t="inlineStr">
        <is>
          <t>Streetwear</t>
        </is>
      </c>
      <c r="E296" s="13" t="inlineStr">
        <is>
          <t>Everyday</t>
        </is>
      </c>
      <c r="F296" s="13" t="inlineStr">
        <is>
          <t>XL</t>
        </is>
      </c>
      <c r="G296" s="13" t="inlineStr">
        <is>
          <t>blue</t>
        </is>
      </c>
      <c r="H296" s="15" t="n">
        <v>95</v>
      </c>
      <c r="I296" s="15" t="n">
        <v>18</v>
      </c>
      <c r="J296" s="16" t="n">
        <v>17.33333333333333</v>
      </c>
      <c r="K296" s="16">
        <f>IFERROR(J296/30,0)</f>
        <v/>
      </c>
      <c r="L296" s="15" t="n">
        <v>1</v>
      </c>
      <c r="M296" s="17" t="n">
        <v>0.9667</v>
      </c>
      <c r="N296" s="15" t="n">
        <v>1</v>
      </c>
      <c r="O296" s="15" t="n">
        <v>1</v>
      </c>
      <c r="P296" s="15" t="n">
        <v>0</v>
      </c>
      <c r="Q296" s="12" t="n">
        <v>0</v>
      </c>
      <c r="R296" s="12" t="n">
        <v>0</v>
      </c>
      <c r="S296" s="15">
        <f>H296+Q296-R296</f>
        <v/>
      </c>
      <c r="T296" s="12" t="n">
        <v>14</v>
      </c>
      <c r="U296" s="12" t="n">
        <v>7</v>
      </c>
      <c r="V296" s="12" t="n">
        <v>7</v>
      </c>
      <c r="W296" s="16">
        <f>K296*(T296+U296)</f>
        <v/>
      </c>
      <c r="X296" s="16">
        <f>K296*(T296+U296+V296)</f>
        <v/>
      </c>
      <c r="Y296" s="16">
        <f>IF(K296&gt;0,H296/K296,99999)</f>
        <v/>
      </c>
      <c r="Z296" s="14">
        <f>IF(AND(OR(L296&gt;=1,M296&lt;0.95),Y296&gt;120),"DATA CONFLICT - VERIFY",IF(OR(L296&gt;=1,M296&lt;0.95,Y296&lt;=14),"SERVICE / STOCKOUT REVIEW",IF(Y296&gt;120,"OVERSTOCK REVIEW",IF(S296&lt;=W296,"REPLENISHMENT REVIEW","NORMAL MONITORING"))))</f>
        <v/>
      </c>
      <c r="AA296" s="15">
        <f>IF(OR(Z296="DATA CONFLICT - VERIFY",Z296="SERVICE / STOCKOUT REVIEW"),0,IF(S296&lt;=W296,MAX(0,ROUNDUP(X296-S296,0)),0))</f>
        <v/>
      </c>
      <c r="AB296" s="14">
        <f>IF(Z296="DATA CONFLICT - VERIFY","P1 - DATA CONFLICT",IF(Z296="SERVICE / STOCKOUT REVIEW","P1 - SERVICE",IF(Z296="OVERSTOCK REVIEW","P2 - OVERSTOCK",IF(Z296="REPLENISHMENT REVIEW","P2 - REPLENISH","P3 - MONITOR"))))</f>
        <v/>
      </c>
      <c r="AC296" s="16" t="n">
        <v>9445.094755700327</v>
      </c>
      <c r="AD296" s="16" t="n">
        <v>8972.84001791531</v>
      </c>
      <c r="AE296" s="16">
        <f>IF(OR(AD296="",H296=""),"",H296*AD296)</f>
        <v/>
      </c>
    </row>
    <row r="297">
      <c r="A297" s="7" t="inlineStr">
        <is>
          <t>2022-12-31</t>
        </is>
      </c>
      <c r="B297" s="7" t="n">
        <v>567</v>
      </c>
      <c r="C297" s="8" t="inlineStr">
        <is>
          <t>SaigonFlex UC-32</t>
        </is>
      </c>
      <c r="D297" s="8" t="inlineStr">
        <is>
          <t>Streetwear</t>
        </is>
      </c>
      <c r="E297" s="7" t="inlineStr">
        <is>
          <t>Everyday</t>
        </is>
      </c>
      <c r="F297" s="7" t="inlineStr">
        <is>
          <t>XL</t>
        </is>
      </c>
      <c r="G297" s="7" t="inlineStr">
        <is>
          <t>silver</t>
        </is>
      </c>
      <c r="H297" s="9" t="n">
        <v>207</v>
      </c>
      <c r="I297" s="9" t="n">
        <v>4</v>
      </c>
      <c r="J297" s="10" t="n">
        <v>8.333333333333334</v>
      </c>
      <c r="K297" s="10">
        <f>IFERROR(J297/30,0)</f>
        <v/>
      </c>
      <c r="L297" s="9" t="n">
        <v>1</v>
      </c>
      <c r="M297" s="11" t="n">
        <v>0.9667</v>
      </c>
      <c r="N297" s="9" t="n">
        <v>1</v>
      </c>
      <c r="O297" s="9" t="n">
        <v>1</v>
      </c>
      <c r="P297" s="9" t="n">
        <v>0</v>
      </c>
      <c r="Q297" s="12" t="n">
        <v>0</v>
      </c>
      <c r="R297" s="12" t="n">
        <v>0</v>
      </c>
      <c r="S297" s="9">
        <f>H297+Q297-R297</f>
        <v/>
      </c>
      <c r="T297" s="12" t="n">
        <v>14</v>
      </c>
      <c r="U297" s="12" t="n">
        <v>7</v>
      </c>
      <c r="V297" s="12" t="n">
        <v>7</v>
      </c>
      <c r="W297" s="10">
        <f>K297*(T297+U297)</f>
        <v/>
      </c>
      <c r="X297" s="10">
        <f>K297*(T297+U297+V297)</f>
        <v/>
      </c>
      <c r="Y297" s="10">
        <f>IF(K297&gt;0,H297/K297,99999)</f>
        <v/>
      </c>
      <c r="Z297" s="8">
        <f>IF(AND(OR(L297&gt;=1,M297&lt;0.95),Y297&gt;120),"DATA CONFLICT - VERIFY",IF(OR(L297&gt;=1,M297&lt;0.95,Y297&lt;=14),"SERVICE / STOCKOUT REVIEW",IF(Y297&gt;120,"OVERSTOCK REVIEW",IF(S297&lt;=W297,"REPLENISHMENT REVIEW","NORMAL MONITORING"))))</f>
        <v/>
      </c>
      <c r="AA297" s="9">
        <f>IF(OR(Z297="DATA CONFLICT - VERIFY",Z297="SERVICE / STOCKOUT REVIEW"),0,IF(S297&lt;=W297,MAX(0,ROUNDUP(X297-S297,0)),0))</f>
        <v/>
      </c>
      <c r="AB297" s="8">
        <f>IF(Z297="DATA CONFLICT - VERIFY","P1 - DATA CONFLICT",IF(Z297="SERVICE / STOCKOUT REVIEW","P1 - SERVICE",IF(Z297="OVERSTOCK REVIEW","P2 - OVERSTOCK",IF(Z297="REPLENISHMENT REVIEW","P2 - REPLENISH","P3 - MONITOR"))))</f>
        <v/>
      </c>
      <c r="AC297" s="10" t="n">
        <v>10134.77688796681</v>
      </c>
      <c r="AD297" s="10" t="n">
        <v>8711.854212896265</v>
      </c>
      <c r="AE297" s="10">
        <f>IF(OR(AD297="",H297=""),"",H297*AD297)</f>
        <v/>
      </c>
    </row>
    <row r="298">
      <c r="A298" s="13" t="inlineStr">
        <is>
          <t>2022-12-31</t>
        </is>
      </c>
      <c r="B298" s="13" t="n">
        <v>570</v>
      </c>
      <c r="C298" s="14" t="inlineStr">
        <is>
          <t>SaigonFlex UC-35</t>
        </is>
      </c>
      <c r="D298" s="14" t="inlineStr">
        <is>
          <t>Streetwear</t>
        </is>
      </c>
      <c r="E298" s="13" t="inlineStr">
        <is>
          <t>Everyday</t>
        </is>
      </c>
      <c r="F298" s="13" t="inlineStr">
        <is>
          <t>L</t>
        </is>
      </c>
      <c r="G298" s="13" t="inlineStr">
        <is>
          <t>red</t>
        </is>
      </c>
      <c r="H298" s="15" t="n">
        <v>49</v>
      </c>
      <c r="I298" s="15" t="n">
        <v>9</v>
      </c>
      <c r="J298" s="16" t="n">
        <v>6.666666666666667</v>
      </c>
      <c r="K298" s="16">
        <f>IFERROR(J298/30,0)</f>
        <v/>
      </c>
      <c r="L298" s="15" t="n">
        <v>0</v>
      </c>
      <c r="M298" s="17" t="n">
        <v>1</v>
      </c>
      <c r="N298" s="15" t="n">
        <v>0</v>
      </c>
      <c r="O298" s="15" t="n">
        <v>1</v>
      </c>
      <c r="P298" s="15" t="n">
        <v>0</v>
      </c>
      <c r="Q298" s="12" t="n">
        <v>0</v>
      </c>
      <c r="R298" s="12" t="n">
        <v>0</v>
      </c>
      <c r="S298" s="15">
        <f>H298+Q298-R298</f>
        <v/>
      </c>
      <c r="T298" s="12" t="n">
        <v>14</v>
      </c>
      <c r="U298" s="12" t="n">
        <v>7</v>
      </c>
      <c r="V298" s="12" t="n">
        <v>7</v>
      </c>
      <c r="W298" s="16">
        <f>K298*(T298+U298)</f>
        <v/>
      </c>
      <c r="X298" s="16">
        <f>K298*(T298+U298+V298)</f>
        <v/>
      </c>
      <c r="Y298" s="16">
        <f>IF(K298&gt;0,H298/K298,99999)</f>
        <v/>
      </c>
      <c r="Z298" s="14">
        <f>IF(AND(OR(L298&gt;=1,M298&lt;0.95),Y298&gt;120),"DATA CONFLICT - VERIFY",IF(OR(L298&gt;=1,M298&lt;0.95,Y298&lt;=14),"SERVICE / STOCKOUT REVIEW",IF(Y298&gt;120,"OVERSTOCK REVIEW",IF(S298&lt;=W298,"REPLENISHMENT REVIEW","NORMAL MONITORING"))))</f>
        <v/>
      </c>
      <c r="AA298" s="15">
        <f>IF(OR(Z298="DATA CONFLICT - VERIFY",Z298="SERVICE / STOCKOUT REVIEW"),0,IF(S298&lt;=W298,MAX(0,ROUNDUP(X298-S298,0)),0))</f>
        <v/>
      </c>
      <c r="AB298" s="14">
        <f>IF(Z298="DATA CONFLICT - VERIFY","P1 - DATA CONFLICT",IF(Z298="SERVICE / STOCKOUT REVIEW","P1 - SERVICE",IF(Z298="OVERSTOCK REVIEW","P2 - OVERSTOCK",IF(Z298="REPLENISHMENT REVIEW","P2 - REPLENISH","P3 - MONITOR"))))</f>
        <v/>
      </c>
      <c r="AC298" s="16" t="n">
        <v>6934.761627906977</v>
      </c>
      <c r="AD298" s="16" t="n">
        <v>6364.030745930232</v>
      </c>
      <c r="AE298" s="16">
        <f>IF(OR(AD298="",H298=""),"",H298*AD298)</f>
        <v/>
      </c>
    </row>
    <row r="299">
      <c r="A299" s="7" t="inlineStr">
        <is>
          <t>2022-12-31</t>
        </is>
      </c>
      <c r="B299" s="7" t="n">
        <v>585</v>
      </c>
      <c r="C299" s="8" t="inlineStr">
        <is>
          <t>SaigonFlex UC-50</t>
        </is>
      </c>
      <c r="D299" s="8" t="inlineStr">
        <is>
          <t>Streetwear</t>
        </is>
      </c>
      <c r="E299" s="7" t="inlineStr">
        <is>
          <t>Everyday</t>
        </is>
      </c>
      <c r="F299" s="7" t="inlineStr">
        <is>
          <t>M</t>
        </is>
      </c>
      <c r="G299" s="7" t="inlineStr">
        <is>
          <t>purple</t>
        </is>
      </c>
      <c r="H299" s="9" t="n">
        <v>344</v>
      </c>
      <c r="I299" s="9" t="n">
        <v>27</v>
      </c>
      <c r="J299" s="10" t="n">
        <v>27.66666666666667</v>
      </c>
      <c r="K299" s="10">
        <f>IFERROR(J299/30,0)</f>
        <v/>
      </c>
      <c r="L299" s="9" t="n">
        <v>2</v>
      </c>
      <c r="M299" s="11" t="n">
        <v>0.9333</v>
      </c>
      <c r="N299" s="9" t="n">
        <v>1</v>
      </c>
      <c r="O299" s="9" t="n">
        <v>1</v>
      </c>
      <c r="P299" s="9" t="n">
        <v>0</v>
      </c>
      <c r="Q299" s="12" t="n">
        <v>0</v>
      </c>
      <c r="R299" s="12" t="n">
        <v>0</v>
      </c>
      <c r="S299" s="9">
        <f>H299+Q299-R299</f>
        <v/>
      </c>
      <c r="T299" s="12" t="n">
        <v>14</v>
      </c>
      <c r="U299" s="12" t="n">
        <v>7</v>
      </c>
      <c r="V299" s="12" t="n">
        <v>7</v>
      </c>
      <c r="W299" s="10">
        <f>K299*(T299+U299)</f>
        <v/>
      </c>
      <c r="X299" s="10">
        <f>K299*(T299+U299+V299)</f>
        <v/>
      </c>
      <c r="Y299" s="10">
        <f>IF(K299&gt;0,H299/K299,99999)</f>
        <v/>
      </c>
      <c r="Z299" s="8">
        <f>IF(AND(OR(L299&gt;=1,M299&lt;0.95),Y299&gt;120),"DATA CONFLICT - VERIFY",IF(OR(L299&gt;=1,M299&lt;0.95,Y299&lt;=14),"SERVICE / STOCKOUT REVIEW",IF(Y299&gt;120,"OVERSTOCK REVIEW",IF(S299&lt;=W299,"REPLENISHMENT REVIEW","NORMAL MONITORING"))))</f>
        <v/>
      </c>
      <c r="AA299" s="9">
        <f>IF(OR(Z299="DATA CONFLICT - VERIFY",Z299="SERVICE / STOCKOUT REVIEW"),0,IF(S299&lt;=W299,MAX(0,ROUNDUP(X299-S299,0)),0))</f>
        <v/>
      </c>
      <c r="AB299" s="8">
        <f>IF(Z299="DATA CONFLICT - VERIFY","P1 - DATA CONFLICT",IF(Z299="SERVICE / STOCKOUT REVIEW","P1 - SERVICE",IF(Z299="OVERSTOCK REVIEW","P2 - OVERSTOCK",IF(Z299="REPLENISHMENT REVIEW","P2 - REPLENISH","P3 - MONITOR"))))</f>
        <v/>
      </c>
      <c r="AC299" s="10" t="n">
        <v>5044.252669537136</v>
      </c>
      <c r="AD299" s="10" t="n">
        <v>4792.040036060279</v>
      </c>
      <c r="AE299" s="10">
        <f>IF(OR(AD299="",H299=""),"",H299*AD299)</f>
        <v/>
      </c>
    </row>
    <row r="300">
      <c r="A300" s="13" t="inlineStr">
        <is>
          <t>2022-12-31</t>
        </is>
      </c>
      <c r="B300" s="13" t="n">
        <v>589</v>
      </c>
      <c r="C300" s="14" t="inlineStr">
        <is>
          <t>SaigonFlex UC-54</t>
        </is>
      </c>
      <c r="D300" s="14" t="inlineStr">
        <is>
          <t>Streetwear</t>
        </is>
      </c>
      <c r="E300" s="13" t="inlineStr">
        <is>
          <t>Everyday</t>
        </is>
      </c>
      <c r="F300" s="13" t="inlineStr">
        <is>
          <t>M</t>
        </is>
      </c>
      <c r="G300" s="13" t="inlineStr">
        <is>
          <t>yellow</t>
        </is>
      </c>
      <c r="H300" s="15" t="n">
        <v>145</v>
      </c>
      <c r="I300" s="15" t="n">
        <v>14</v>
      </c>
      <c r="J300" s="16" t="n">
        <v>19.66666666666667</v>
      </c>
      <c r="K300" s="16">
        <f>IFERROR(J300/30,0)</f>
        <v/>
      </c>
      <c r="L300" s="15" t="n">
        <v>1</v>
      </c>
      <c r="M300" s="17" t="n">
        <v>0.9667</v>
      </c>
      <c r="N300" s="15" t="n">
        <v>1</v>
      </c>
      <c r="O300" s="15" t="n">
        <v>1</v>
      </c>
      <c r="P300" s="15" t="n">
        <v>0</v>
      </c>
      <c r="Q300" s="12" t="n">
        <v>0</v>
      </c>
      <c r="R300" s="12" t="n">
        <v>0</v>
      </c>
      <c r="S300" s="15">
        <f>H300+Q300-R300</f>
        <v/>
      </c>
      <c r="T300" s="12" t="n">
        <v>14</v>
      </c>
      <c r="U300" s="12" t="n">
        <v>7</v>
      </c>
      <c r="V300" s="12" t="n">
        <v>7</v>
      </c>
      <c r="W300" s="16">
        <f>K300*(T300+U300)</f>
        <v/>
      </c>
      <c r="X300" s="16">
        <f>K300*(T300+U300+V300)</f>
        <v/>
      </c>
      <c r="Y300" s="16">
        <f>IF(K300&gt;0,H300/K300,99999)</f>
        <v/>
      </c>
      <c r="Z300" s="14">
        <f>IF(AND(OR(L300&gt;=1,M300&lt;0.95),Y300&gt;120),"DATA CONFLICT - VERIFY",IF(OR(L300&gt;=1,M300&lt;0.95,Y300&lt;=14),"SERVICE / STOCKOUT REVIEW",IF(Y300&gt;120,"OVERSTOCK REVIEW",IF(S300&lt;=W300,"REPLENISHMENT REVIEW","NORMAL MONITORING"))))</f>
        <v/>
      </c>
      <c r="AA300" s="15">
        <f>IF(OR(Z300="DATA CONFLICT - VERIFY",Z300="SERVICE / STOCKOUT REVIEW"),0,IF(S300&lt;=W300,MAX(0,ROUNDUP(X300-S300,0)),0))</f>
        <v/>
      </c>
      <c r="AB300" s="14">
        <f>IF(Z300="DATA CONFLICT - VERIFY","P1 - DATA CONFLICT",IF(Z300="SERVICE / STOCKOUT REVIEW","P1 - SERVICE",IF(Z300="OVERSTOCK REVIEW","P2 - OVERSTOCK",IF(Z300="REPLENISHMENT REVIEW","P2 - REPLENISH","P3 - MONITOR"))))</f>
        <v/>
      </c>
      <c r="AC300" s="16" t="n">
        <v>10207.29366412214</v>
      </c>
      <c r="AD300" s="16" t="n">
        <v>7250.240689625954</v>
      </c>
      <c r="AE300" s="16">
        <f>IF(OR(AD300="",H300=""),"",H300*AD300)</f>
        <v/>
      </c>
    </row>
    <row r="301">
      <c r="A301" s="7" t="inlineStr">
        <is>
          <t>2022-12-31</t>
        </is>
      </c>
      <c r="B301" s="7" t="n">
        <v>604</v>
      </c>
      <c r="C301" s="8" t="inlineStr">
        <is>
          <t>SaigonFlex UC-69</t>
        </is>
      </c>
      <c r="D301" s="8" t="inlineStr">
        <is>
          <t>Streetwear</t>
        </is>
      </c>
      <c r="E301" s="7" t="inlineStr">
        <is>
          <t>Everyday</t>
        </is>
      </c>
      <c r="F301" s="7" t="inlineStr">
        <is>
          <t>S</t>
        </is>
      </c>
      <c r="G301" s="7" t="inlineStr">
        <is>
          <t>white</t>
        </is>
      </c>
      <c r="H301" s="9" t="n">
        <v>2370</v>
      </c>
      <c r="I301" s="9" t="n">
        <v>3</v>
      </c>
      <c r="J301" s="10" t="n">
        <v>9.666666666666666</v>
      </c>
      <c r="K301" s="10">
        <f>IFERROR(J301/30,0)</f>
        <v/>
      </c>
      <c r="L301" s="9" t="n">
        <v>1</v>
      </c>
      <c r="M301" s="11" t="n">
        <v>0.9667</v>
      </c>
      <c r="N301" s="9" t="n">
        <v>1</v>
      </c>
      <c r="O301" s="9" t="n">
        <v>1</v>
      </c>
      <c r="P301" s="9" t="n">
        <v>0</v>
      </c>
      <c r="Q301" s="12" t="n">
        <v>0</v>
      </c>
      <c r="R301" s="12" t="n">
        <v>0</v>
      </c>
      <c r="S301" s="9">
        <f>H301+Q301-R301</f>
        <v/>
      </c>
      <c r="T301" s="12" t="n">
        <v>14</v>
      </c>
      <c r="U301" s="12" t="n">
        <v>7</v>
      </c>
      <c r="V301" s="12" t="n">
        <v>7</v>
      </c>
      <c r="W301" s="10">
        <f>K301*(T301+U301)</f>
        <v/>
      </c>
      <c r="X301" s="10">
        <f>K301*(T301+U301+V301)</f>
        <v/>
      </c>
      <c r="Y301" s="10">
        <f>IF(K301&gt;0,H301/K301,99999)</f>
        <v/>
      </c>
      <c r="Z301" s="8">
        <f>IF(AND(OR(L301&gt;=1,M301&lt;0.95),Y301&gt;120),"DATA CONFLICT - VERIFY",IF(OR(L301&gt;=1,M301&lt;0.95,Y301&lt;=14),"SERVICE / STOCKOUT REVIEW",IF(Y301&gt;120,"OVERSTOCK REVIEW",IF(S301&lt;=W301,"REPLENISHMENT REVIEW","NORMAL MONITORING"))))</f>
        <v/>
      </c>
      <c r="AA301" s="9">
        <f>IF(OR(Z301="DATA CONFLICT - VERIFY",Z301="SERVICE / STOCKOUT REVIEW"),0,IF(S301&lt;=W301,MAX(0,ROUNDUP(X301-S301,0)),0))</f>
        <v/>
      </c>
      <c r="AB301" s="8">
        <f>IF(Z301="DATA CONFLICT - VERIFY","P1 - DATA CONFLICT",IF(Z301="SERVICE / STOCKOUT REVIEW","P1 - SERVICE",IF(Z301="OVERSTOCK REVIEW","P2 - OVERSTOCK",IF(Z301="REPLENISHMENT REVIEW","P2 - REPLENISH","P3 - MONITOR"))))</f>
        <v/>
      </c>
      <c r="AC301" s="10" t="n">
        <v>6135.298830630299</v>
      </c>
      <c r="AD301" s="10" t="n">
        <v>4141.940240558514</v>
      </c>
      <c r="AE301" s="10">
        <f>IF(OR(AD301="",H301=""),"",H301*AD301)</f>
        <v/>
      </c>
    </row>
    <row r="302">
      <c r="A302" s="13" t="inlineStr">
        <is>
          <t>2022-12-31</t>
        </is>
      </c>
      <c r="B302" s="13" t="n">
        <v>614</v>
      </c>
      <c r="C302" s="14" t="inlineStr">
        <is>
          <t>SaigonFlex UC-79</t>
        </is>
      </c>
      <c r="D302" s="14" t="inlineStr">
        <is>
          <t>Streetwear</t>
        </is>
      </c>
      <c r="E302" s="13" t="inlineStr">
        <is>
          <t>Everyday</t>
        </is>
      </c>
      <c r="F302" s="13" t="inlineStr">
        <is>
          <t>L</t>
        </is>
      </c>
      <c r="G302" s="13" t="inlineStr">
        <is>
          <t>white</t>
        </is>
      </c>
      <c r="H302" s="15" t="n">
        <v>49</v>
      </c>
      <c r="I302" s="15" t="n">
        <v>11</v>
      </c>
      <c r="J302" s="16" t="n">
        <v>10.66666666666667</v>
      </c>
      <c r="K302" s="16">
        <f>IFERROR(J302/30,0)</f>
        <v/>
      </c>
      <c r="L302" s="15" t="n">
        <v>2</v>
      </c>
      <c r="M302" s="17" t="n">
        <v>0.9333</v>
      </c>
      <c r="N302" s="15" t="n">
        <v>1</v>
      </c>
      <c r="O302" s="15" t="n">
        <v>1</v>
      </c>
      <c r="P302" s="15" t="n">
        <v>0</v>
      </c>
      <c r="Q302" s="12" t="n">
        <v>0</v>
      </c>
      <c r="R302" s="12" t="n">
        <v>0</v>
      </c>
      <c r="S302" s="15">
        <f>H302+Q302-R302</f>
        <v/>
      </c>
      <c r="T302" s="12" t="n">
        <v>14</v>
      </c>
      <c r="U302" s="12" t="n">
        <v>7</v>
      </c>
      <c r="V302" s="12" t="n">
        <v>7</v>
      </c>
      <c r="W302" s="16">
        <f>K302*(T302+U302)</f>
        <v/>
      </c>
      <c r="X302" s="16">
        <f>K302*(T302+U302+V302)</f>
        <v/>
      </c>
      <c r="Y302" s="16">
        <f>IF(K302&gt;0,H302/K302,99999)</f>
        <v/>
      </c>
      <c r="Z302" s="14">
        <f>IF(AND(OR(L302&gt;=1,M302&lt;0.95),Y302&gt;120),"DATA CONFLICT - VERIFY",IF(OR(L302&gt;=1,M302&lt;0.95,Y302&lt;=14),"SERVICE / STOCKOUT REVIEW",IF(Y302&gt;120,"OVERSTOCK REVIEW",IF(S302&lt;=W302,"REPLENISHMENT REVIEW","NORMAL MONITORING"))))</f>
        <v/>
      </c>
      <c r="AA302" s="15">
        <f>IF(OR(Z302="DATA CONFLICT - VERIFY",Z302="SERVICE / STOCKOUT REVIEW"),0,IF(S302&lt;=W302,MAX(0,ROUNDUP(X302-S302,0)),0))</f>
        <v/>
      </c>
      <c r="AB302" s="14">
        <f>IF(Z302="DATA CONFLICT - VERIFY","P1 - DATA CONFLICT",IF(Z302="SERVICE / STOCKOUT REVIEW","P1 - SERVICE",IF(Z302="OVERSTOCK REVIEW","P2 - OVERSTOCK",IF(Z302="REPLENISHMENT REVIEW","P2 - REPLENISH","P3 - MONITOR"))))</f>
        <v/>
      </c>
      <c r="AC302" s="16" t="n">
        <v>8263.487647058824</v>
      </c>
      <c r="AD302" s="16" t="n">
        <v>6609.137420117648</v>
      </c>
      <c r="AE302" s="16">
        <f>IF(OR(AD302="",H302=""),"",H302*AD302)</f>
        <v/>
      </c>
    </row>
    <row r="303">
      <c r="A303" s="7" t="inlineStr">
        <is>
          <t>2022-12-31</t>
        </is>
      </c>
      <c r="B303" s="7" t="n">
        <v>615</v>
      </c>
      <c r="C303" s="8" t="inlineStr">
        <is>
          <t>SaigonFlex UC-80</t>
        </is>
      </c>
      <c r="D303" s="8" t="inlineStr">
        <is>
          <t>Streetwear</t>
        </is>
      </c>
      <c r="E303" s="7" t="inlineStr">
        <is>
          <t>Everyday</t>
        </is>
      </c>
      <c r="F303" s="7" t="inlineStr">
        <is>
          <t>XL</t>
        </is>
      </c>
      <c r="G303" s="7" t="inlineStr">
        <is>
          <t>purple</t>
        </is>
      </c>
      <c r="H303" s="9" t="n">
        <v>529</v>
      </c>
      <c r="I303" s="9" t="n">
        <v>6</v>
      </c>
      <c r="J303" s="10" t="n">
        <v>11.33333333333333</v>
      </c>
      <c r="K303" s="10">
        <f>IFERROR(J303/30,0)</f>
        <v/>
      </c>
      <c r="L303" s="9" t="n">
        <v>1</v>
      </c>
      <c r="M303" s="11" t="n">
        <v>0.9667</v>
      </c>
      <c r="N303" s="9" t="n">
        <v>1</v>
      </c>
      <c r="O303" s="9" t="n">
        <v>1</v>
      </c>
      <c r="P303" s="9" t="n">
        <v>0</v>
      </c>
      <c r="Q303" s="12" t="n">
        <v>0</v>
      </c>
      <c r="R303" s="12" t="n">
        <v>0</v>
      </c>
      <c r="S303" s="9">
        <f>H303+Q303-R303</f>
        <v/>
      </c>
      <c r="T303" s="12" t="n">
        <v>14</v>
      </c>
      <c r="U303" s="12" t="n">
        <v>7</v>
      </c>
      <c r="V303" s="12" t="n">
        <v>7</v>
      </c>
      <c r="W303" s="10">
        <f>K303*(T303+U303)</f>
        <v/>
      </c>
      <c r="X303" s="10">
        <f>K303*(T303+U303+V303)</f>
        <v/>
      </c>
      <c r="Y303" s="10">
        <f>IF(K303&gt;0,H303/K303,99999)</f>
        <v/>
      </c>
      <c r="Z303" s="8">
        <f>IF(AND(OR(L303&gt;=1,M303&lt;0.95),Y303&gt;120),"DATA CONFLICT - VERIFY",IF(OR(L303&gt;=1,M303&lt;0.95,Y303&lt;=14),"SERVICE / STOCKOUT REVIEW",IF(Y303&gt;120,"OVERSTOCK REVIEW",IF(S303&lt;=W303,"REPLENISHMENT REVIEW","NORMAL MONITORING"))))</f>
        <v/>
      </c>
      <c r="AA303" s="9">
        <f>IF(OR(Z303="DATA CONFLICT - VERIFY",Z303="SERVICE / STOCKOUT REVIEW"),0,IF(S303&lt;=W303,MAX(0,ROUNDUP(X303-S303,0)),0))</f>
        <v/>
      </c>
      <c r="AB303" s="8">
        <f>IF(Z303="DATA CONFLICT - VERIFY","P1 - DATA CONFLICT",IF(Z303="SERVICE / STOCKOUT REVIEW","P1 - SERVICE",IF(Z303="OVERSTOCK REVIEW","P2 - OVERSTOCK",IF(Z303="REPLENISHMENT REVIEW","P2 - REPLENISH","P3 - MONITOR"))))</f>
        <v/>
      </c>
      <c r="AC303" s="10" t="n">
        <v>8328.96637057599</v>
      </c>
      <c r="AD303" s="10" t="n">
        <v>4873.278223424012</v>
      </c>
      <c r="AE303" s="10">
        <f>IF(OR(AD303="",H303=""),"",H303*AD303)</f>
        <v/>
      </c>
    </row>
    <row r="304">
      <c r="A304" s="13" t="inlineStr">
        <is>
          <t>2022-12-31</t>
        </is>
      </c>
      <c r="B304" s="13" t="n">
        <v>640</v>
      </c>
      <c r="C304" s="14" t="inlineStr">
        <is>
          <t>SaigonFlex UC-05</t>
        </is>
      </c>
      <c r="D304" s="14" t="inlineStr">
        <is>
          <t>Streetwear</t>
        </is>
      </c>
      <c r="E304" s="13" t="inlineStr">
        <is>
          <t>Everyday</t>
        </is>
      </c>
      <c r="F304" s="13" t="inlineStr">
        <is>
          <t>S</t>
        </is>
      </c>
      <c r="G304" s="13" t="inlineStr">
        <is>
          <t>red</t>
        </is>
      </c>
      <c r="H304" s="15" t="n">
        <v>56</v>
      </c>
      <c r="I304" s="15" t="n">
        <v>9</v>
      </c>
      <c r="J304" s="16" t="n">
        <v>10.33333333333333</v>
      </c>
      <c r="K304" s="16">
        <f>IFERROR(J304/30,0)</f>
        <v/>
      </c>
      <c r="L304" s="15" t="n">
        <v>2</v>
      </c>
      <c r="M304" s="17" t="n">
        <v>0.9333</v>
      </c>
      <c r="N304" s="15" t="n">
        <v>1</v>
      </c>
      <c r="O304" s="15" t="n">
        <v>1</v>
      </c>
      <c r="P304" s="15" t="n">
        <v>0</v>
      </c>
      <c r="Q304" s="12" t="n">
        <v>0</v>
      </c>
      <c r="R304" s="12" t="n">
        <v>0</v>
      </c>
      <c r="S304" s="15">
        <f>H304+Q304-R304</f>
        <v/>
      </c>
      <c r="T304" s="12" t="n">
        <v>14</v>
      </c>
      <c r="U304" s="12" t="n">
        <v>7</v>
      </c>
      <c r="V304" s="12" t="n">
        <v>7</v>
      </c>
      <c r="W304" s="16">
        <f>K304*(T304+U304)</f>
        <v/>
      </c>
      <c r="X304" s="16">
        <f>K304*(T304+U304+V304)</f>
        <v/>
      </c>
      <c r="Y304" s="16">
        <f>IF(K304&gt;0,H304/K304,99999)</f>
        <v/>
      </c>
      <c r="Z304" s="14">
        <f>IF(AND(OR(L304&gt;=1,M304&lt;0.95),Y304&gt;120),"DATA CONFLICT - VERIFY",IF(OR(L304&gt;=1,M304&lt;0.95,Y304&lt;=14),"SERVICE / STOCKOUT REVIEW",IF(Y304&gt;120,"OVERSTOCK REVIEW",IF(S304&lt;=W304,"REPLENISHMENT REVIEW","NORMAL MONITORING"))))</f>
        <v/>
      </c>
      <c r="AA304" s="15">
        <f>IF(OR(Z304="DATA CONFLICT - VERIFY",Z304="SERVICE / STOCKOUT REVIEW"),0,IF(S304&lt;=W304,MAX(0,ROUNDUP(X304-S304,0)),0))</f>
        <v/>
      </c>
      <c r="AB304" s="14">
        <f>IF(Z304="DATA CONFLICT - VERIFY","P1 - DATA CONFLICT",IF(Z304="SERVICE / STOCKOUT REVIEW","P1 - SERVICE",IF(Z304="OVERSTOCK REVIEW","P2 - OVERSTOCK",IF(Z304="REPLENISHMENT REVIEW","P2 - REPLENISH","P3 - MONITOR"))))</f>
        <v/>
      </c>
      <c r="AC304" s="16" t="n">
        <v>9757.343076923078</v>
      </c>
      <c r="AD304" s="16" t="n">
        <v>9269.475923076923</v>
      </c>
      <c r="AE304" s="16">
        <f>IF(OR(AD304="",H304=""),"",H304*AD304)</f>
        <v/>
      </c>
    </row>
    <row r="305">
      <c r="A305" s="7" t="inlineStr">
        <is>
          <t>2022-12-31</t>
        </is>
      </c>
      <c r="B305" s="7" t="n">
        <v>649</v>
      </c>
      <c r="C305" s="8" t="inlineStr">
        <is>
          <t>SaigonFlex UC-14</t>
        </is>
      </c>
      <c r="D305" s="8" t="inlineStr">
        <is>
          <t>Streetwear</t>
        </is>
      </c>
      <c r="E305" s="7" t="inlineStr">
        <is>
          <t>Everyday</t>
        </is>
      </c>
      <c r="F305" s="7" t="inlineStr">
        <is>
          <t>M</t>
        </is>
      </c>
      <c r="G305" s="7" t="inlineStr">
        <is>
          <t>yellow</t>
        </is>
      </c>
      <c r="H305" s="9" t="n">
        <v>11</v>
      </c>
      <c r="I305" s="9" t="n">
        <v>1</v>
      </c>
      <c r="J305" s="10" t="n">
        <v>1.666666666666667</v>
      </c>
      <c r="K305" s="10">
        <f>IFERROR(J305/30,0)</f>
        <v/>
      </c>
      <c r="L305" s="9" t="n">
        <v>1</v>
      </c>
      <c r="M305" s="11" t="n">
        <v>0.9667</v>
      </c>
      <c r="N305" s="9" t="n">
        <v>1</v>
      </c>
      <c r="O305" s="9" t="n">
        <v>1</v>
      </c>
      <c r="P305" s="9" t="n">
        <v>0</v>
      </c>
      <c r="Q305" s="12" t="n">
        <v>0</v>
      </c>
      <c r="R305" s="12" t="n">
        <v>0</v>
      </c>
      <c r="S305" s="9">
        <f>H305+Q305-R305</f>
        <v/>
      </c>
      <c r="T305" s="12" t="n">
        <v>14</v>
      </c>
      <c r="U305" s="12" t="n">
        <v>7</v>
      </c>
      <c r="V305" s="12" t="n">
        <v>7</v>
      </c>
      <c r="W305" s="10">
        <f>K305*(T305+U305)</f>
        <v/>
      </c>
      <c r="X305" s="10">
        <f>K305*(T305+U305+V305)</f>
        <v/>
      </c>
      <c r="Y305" s="10">
        <f>IF(K305&gt;0,H305/K305,99999)</f>
        <v/>
      </c>
      <c r="Z305" s="8">
        <f>IF(AND(OR(L305&gt;=1,M305&lt;0.95),Y305&gt;120),"DATA CONFLICT - VERIFY",IF(OR(L305&gt;=1,M305&lt;0.95,Y305&lt;=14),"SERVICE / STOCKOUT REVIEW",IF(Y305&gt;120,"OVERSTOCK REVIEW",IF(S305&lt;=W305,"REPLENISHMENT REVIEW","NORMAL MONITORING"))))</f>
        <v/>
      </c>
      <c r="AA305" s="9">
        <f>IF(OR(Z305="DATA CONFLICT - VERIFY",Z305="SERVICE / STOCKOUT REVIEW"),0,IF(S305&lt;=W305,MAX(0,ROUNDUP(X305-S305,0)),0))</f>
        <v/>
      </c>
      <c r="AB305" s="8">
        <f>IF(Z305="DATA CONFLICT - VERIFY","P1 - DATA CONFLICT",IF(Z305="SERVICE / STOCKOUT REVIEW","P1 - SERVICE",IF(Z305="OVERSTOCK REVIEW","P2 - OVERSTOCK",IF(Z305="REPLENISHMENT REVIEW","P2 - REPLENISH","P3 - MONITOR"))))</f>
        <v/>
      </c>
      <c r="AC305" s="10" t="n">
        <v>10084.34368421053</v>
      </c>
      <c r="AD305" s="10" t="n">
        <v>9580.1265</v>
      </c>
      <c r="AE305" s="10">
        <f>IF(OR(AD305="",H305=""),"",H305*AD305)</f>
        <v/>
      </c>
    </row>
    <row r="306">
      <c r="A306" s="13" t="inlineStr">
        <is>
          <t>2022-12-31</t>
        </is>
      </c>
      <c r="B306" s="13" t="n">
        <v>651</v>
      </c>
      <c r="C306" s="14" t="inlineStr">
        <is>
          <t>SaigonFlex UC-16</t>
        </is>
      </c>
      <c r="D306" s="14" t="inlineStr">
        <is>
          <t>Streetwear</t>
        </is>
      </c>
      <c r="E306" s="13" t="inlineStr">
        <is>
          <t>Everyday</t>
        </is>
      </c>
      <c r="F306" s="13" t="inlineStr">
        <is>
          <t>XL</t>
        </is>
      </c>
      <c r="G306" s="13" t="inlineStr">
        <is>
          <t>black</t>
        </is>
      </c>
      <c r="H306" s="15" t="n">
        <v>153</v>
      </c>
      <c r="I306" s="15" t="n">
        <v>21</v>
      </c>
      <c r="J306" s="16" t="n">
        <v>21.66666666666667</v>
      </c>
      <c r="K306" s="16">
        <f>IFERROR(J306/30,0)</f>
        <v/>
      </c>
      <c r="L306" s="15" t="n">
        <v>0</v>
      </c>
      <c r="M306" s="17" t="n">
        <v>1</v>
      </c>
      <c r="N306" s="15" t="n">
        <v>0</v>
      </c>
      <c r="O306" s="15" t="n">
        <v>1</v>
      </c>
      <c r="P306" s="15" t="n">
        <v>0</v>
      </c>
      <c r="Q306" s="12" t="n">
        <v>0</v>
      </c>
      <c r="R306" s="12" t="n">
        <v>0</v>
      </c>
      <c r="S306" s="15">
        <f>H306+Q306-R306</f>
        <v/>
      </c>
      <c r="T306" s="12" t="n">
        <v>14</v>
      </c>
      <c r="U306" s="12" t="n">
        <v>7</v>
      </c>
      <c r="V306" s="12" t="n">
        <v>7</v>
      </c>
      <c r="W306" s="16">
        <f>K306*(T306+U306)</f>
        <v/>
      </c>
      <c r="X306" s="16">
        <f>K306*(T306+U306+V306)</f>
        <v/>
      </c>
      <c r="Y306" s="16">
        <f>IF(K306&gt;0,H306/K306,99999)</f>
        <v/>
      </c>
      <c r="Z306" s="14">
        <f>IF(AND(OR(L306&gt;=1,M306&lt;0.95),Y306&gt;120),"DATA CONFLICT - VERIFY",IF(OR(L306&gt;=1,M306&lt;0.95,Y306&lt;=14),"SERVICE / STOCKOUT REVIEW",IF(Y306&gt;120,"OVERSTOCK REVIEW",IF(S306&lt;=W306,"REPLENISHMENT REVIEW","NORMAL MONITORING"))))</f>
        <v/>
      </c>
      <c r="AA306" s="15">
        <f>IF(OR(Z306="DATA CONFLICT - VERIFY",Z306="SERVICE / STOCKOUT REVIEW"),0,IF(S306&lt;=W306,MAX(0,ROUNDUP(X306-S306,0)),0))</f>
        <v/>
      </c>
      <c r="AB306" s="14">
        <f>IF(Z306="DATA CONFLICT - VERIFY","P1 - DATA CONFLICT",IF(Z306="SERVICE / STOCKOUT REVIEW","P1 - SERVICE",IF(Z306="OVERSTOCK REVIEW","P2 - OVERSTOCK",IF(Z306="REPLENISHMENT REVIEW","P2 - REPLENISH","P3 - MONITOR"))))</f>
        <v/>
      </c>
      <c r="AC306" s="16" t="n">
        <v>9885.465808383236</v>
      </c>
      <c r="AD306" s="16" t="n">
        <v>5627.795684712575</v>
      </c>
      <c r="AE306" s="16">
        <f>IF(OR(AD306="",H306=""),"",H306*AD306)</f>
        <v/>
      </c>
    </row>
    <row r="307">
      <c r="A307" s="7" t="inlineStr">
        <is>
          <t>2022-12-31</t>
        </is>
      </c>
      <c r="B307" s="7" t="n">
        <v>653</v>
      </c>
      <c r="C307" s="8" t="inlineStr">
        <is>
          <t>SaigonFlex UC-18</t>
        </is>
      </c>
      <c r="D307" s="8" t="inlineStr">
        <is>
          <t>Streetwear</t>
        </is>
      </c>
      <c r="E307" s="7" t="inlineStr">
        <is>
          <t>Everyday</t>
        </is>
      </c>
      <c r="F307" s="7" t="inlineStr">
        <is>
          <t>M</t>
        </is>
      </c>
      <c r="G307" s="7" t="inlineStr">
        <is>
          <t>blue</t>
        </is>
      </c>
      <c r="H307" s="9" t="n">
        <v>88</v>
      </c>
      <c r="I307" s="9" t="n">
        <v>18</v>
      </c>
      <c r="J307" s="10" t="n">
        <v>17.66666666666667</v>
      </c>
      <c r="K307" s="10">
        <f>IFERROR(J307/30,0)</f>
        <v/>
      </c>
      <c r="L307" s="9" t="n">
        <v>2</v>
      </c>
      <c r="M307" s="11" t="n">
        <v>0.9333</v>
      </c>
      <c r="N307" s="9" t="n">
        <v>1</v>
      </c>
      <c r="O307" s="9" t="n">
        <v>1</v>
      </c>
      <c r="P307" s="9" t="n">
        <v>0</v>
      </c>
      <c r="Q307" s="12" t="n">
        <v>0</v>
      </c>
      <c r="R307" s="12" t="n">
        <v>0</v>
      </c>
      <c r="S307" s="9">
        <f>H307+Q307-R307</f>
        <v/>
      </c>
      <c r="T307" s="12" t="n">
        <v>14</v>
      </c>
      <c r="U307" s="12" t="n">
        <v>7</v>
      </c>
      <c r="V307" s="12" t="n">
        <v>7</v>
      </c>
      <c r="W307" s="10">
        <f>K307*(T307+U307)</f>
        <v/>
      </c>
      <c r="X307" s="10">
        <f>K307*(T307+U307+V307)</f>
        <v/>
      </c>
      <c r="Y307" s="10">
        <f>IF(K307&gt;0,H307/K307,99999)</f>
        <v/>
      </c>
      <c r="Z307" s="8">
        <f>IF(AND(OR(L307&gt;=1,M307&lt;0.95),Y307&gt;120),"DATA CONFLICT - VERIFY",IF(OR(L307&gt;=1,M307&lt;0.95,Y307&lt;=14),"SERVICE / STOCKOUT REVIEW",IF(Y307&gt;120,"OVERSTOCK REVIEW",IF(S307&lt;=W307,"REPLENISHMENT REVIEW","NORMAL MONITORING"))))</f>
        <v/>
      </c>
      <c r="AA307" s="9">
        <f>IF(OR(Z307="DATA CONFLICT - VERIFY",Z307="SERVICE / STOCKOUT REVIEW"),0,IF(S307&lt;=W307,MAX(0,ROUNDUP(X307-S307,0)),0))</f>
        <v/>
      </c>
      <c r="AB307" s="8">
        <f>IF(Z307="DATA CONFLICT - VERIFY","P1 - DATA CONFLICT",IF(Z307="SERVICE / STOCKOUT REVIEW","P1 - SERVICE",IF(Z307="OVERSTOCK REVIEW","P2 - OVERSTOCK",IF(Z307="REPLENISHMENT REVIEW","P2 - REPLENISH","P3 - MONITOR"))))</f>
        <v/>
      </c>
      <c r="AC307" s="10" t="n">
        <v>10584.53236162362</v>
      </c>
      <c r="AD307" s="10" t="n">
        <v>10055.30574354243</v>
      </c>
      <c r="AE307" s="10">
        <f>IF(OR(AD307="",H307=""),"",H307*AD307)</f>
        <v/>
      </c>
    </row>
    <row r="308">
      <c r="A308" s="13" t="inlineStr">
        <is>
          <t>2022-12-31</t>
        </is>
      </c>
      <c r="B308" s="13" t="n">
        <v>654</v>
      </c>
      <c r="C308" s="14" t="inlineStr">
        <is>
          <t>SaigonFlex UC-19</t>
        </is>
      </c>
      <c r="D308" s="14" t="inlineStr">
        <is>
          <t>Streetwear</t>
        </is>
      </c>
      <c r="E308" s="13" t="inlineStr">
        <is>
          <t>Everyday</t>
        </is>
      </c>
      <c r="F308" s="13" t="inlineStr">
        <is>
          <t>L</t>
        </is>
      </c>
      <c r="G308" s="13" t="inlineStr">
        <is>
          <t>white</t>
        </is>
      </c>
      <c r="H308" s="15" t="n">
        <v>11</v>
      </c>
      <c r="I308" s="15" t="n">
        <v>3</v>
      </c>
      <c r="J308" s="16" t="n">
        <v>6.666666666666667</v>
      </c>
      <c r="K308" s="16">
        <f>IFERROR(J308/30,0)</f>
        <v/>
      </c>
      <c r="L308" s="15" t="n">
        <v>2</v>
      </c>
      <c r="M308" s="17" t="n">
        <v>0.9333</v>
      </c>
      <c r="N308" s="15" t="n">
        <v>1</v>
      </c>
      <c r="O308" s="15" t="n">
        <v>1</v>
      </c>
      <c r="P308" s="15" t="n">
        <v>0</v>
      </c>
      <c r="Q308" s="12" t="n">
        <v>0</v>
      </c>
      <c r="R308" s="12" t="n">
        <v>0</v>
      </c>
      <c r="S308" s="15">
        <f>H308+Q308-R308</f>
        <v/>
      </c>
      <c r="T308" s="12" t="n">
        <v>14</v>
      </c>
      <c r="U308" s="12" t="n">
        <v>7</v>
      </c>
      <c r="V308" s="12" t="n">
        <v>7</v>
      </c>
      <c r="W308" s="16">
        <f>K308*(T308+U308)</f>
        <v/>
      </c>
      <c r="X308" s="16">
        <f>K308*(T308+U308+V308)</f>
        <v/>
      </c>
      <c r="Y308" s="16">
        <f>IF(K308&gt;0,H308/K308,99999)</f>
        <v/>
      </c>
      <c r="Z308" s="14">
        <f>IF(AND(OR(L308&gt;=1,M308&lt;0.95),Y308&gt;120),"DATA CONFLICT - VERIFY",IF(OR(L308&gt;=1,M308&lt;0.95,Y308&lt;=14),"SERVICE / STOCKOUT REVIEW",IF(Y308&gt;120,"OVERSTOCK REVIEW",IF(S308&lt;=W308,"REPLENISHMENT REVIEW","NORMAL MONITORING"))))</f>
        <v/>
      </c>
      <c r="AA308" s="15">
        <f>IF(OR(Z308="DATA CONFLICT - VERIFY",Z308="SERVICE / STOCKOUT REVIEW"),0,IF(S308&lt;=W308,MAX(0,ROUNDUP(X308-S308,0)),0))</f>
        <v/>
      </c>
      <c r="AB308" s="14">
        <f>IF(Z308="DATA CONFLICT - VERIFY","P1 - DATA CONFLICT",IF(Z308="SERVICE / STOCKOUT REVIEW","P1 - SERVICE",IF(Z308="OVERSTOCK REVIEW","P2 - OVERSTOCK",IF(Z308="REPLENISHMENT REVIEW","P2 - REPLENISH","P3 - MONITOR"))))</f>
        <v/>
      </c>
      <c r="AC308" s="16" t="n">
        <v>12297.93923076923</v>
      </c>
      <c r="AD308" s="16" t="n">
        <v>11683.04226923077</v>
      </c>
      <c r="AE308" s="16">
        <f>IF(OR(AD308="",H308=""),"",H308*AD308)</f>
        <v/>
      </c>
    </row>
    <row r="309">
      <c r="A309" s="7" t="inlineStr">
        <is>
          <t>2022-12-31</t>
        </is>
      </c>
      <c r="B309" s="7" t="n">
        <v>656</v>
      </c>
      <c r="C309" s="8" t="inlineStr">
        <is>
          <t>SaigonFlex UC-21</t>
        </is>
      </c>
      <c r="D309" s="8" t="inlineStr">
        <is>
          <t>Streetwear</t>
        </is>
      </c>
      <c r="E309" s="7" t="inlineStr">
        <is>
          <t>Everyday</t>
        </is>
      </c>
      <c r="F309" s="7" t="inlineStr">
        <is>
          <t>S</t>
        </is>
      </c>
      <c r="G309" s="7" t="inlineStr">
        <is>
          <t>green</t>
        </is>
      </c>
      <c r="H309" s="9" t="n">
        <v>136</v>
      </c>
      <c r="I309" s="9" t="n">
        <v>9</v>
      </c>
      <c r="J309" s="10" t="n">
        <v>12.66666666666667</v>
      </c>
      <c r="K309" s="10">
        <f>IFERROR(J309/30,0)</f>
        <v/>
      </c>
      <c r="L309" s="9" t="n">
        <v>1</v>
      </c>
      <c r="M309" s="11" t="n">
        <v>0.9667</v>
      </c>
      <c r="N309" s="9" t="n">
        <v>1</v>
      </c>
      <c r="O309" s="9" t="n">
        <v>1</v>
      </c>
      <c r="P309" s="9" t="n">
        <v>0</v>
      </c>
      <c r="Q309" s="12" t="n">
        <v>0</v>
      </c>
      <c r="R309" s="12" t="n">
        <v>0</v>
      </c>
      <c r="S309" s="9">
        <f>H309+Q309-R309</f>
        <v/>
      </c>
      <c r="T309" s="12" t="n">
        <v>14</v>
      </c>
      <c r="U309" s="12" t="n">
        <v>7</v>
      </c>
      <c r="V309" s="12" t="n">
        <v>7</v>
      </c>
      <c r="W309" s="10">
        <f>K309*(T309+U309)</f>
        <v/>
      </c>
      <c r="X309" s="10">
        <f>K309*(T309+U309+V309)</f>
        <v/>
      </c>
      <c r="Y309" s="10">
        <f>IF(K309&gt;0,H309/K309,99999)</f>
        <v/>
      </c>
      <c r="Z309" s="8">
        <f>IF(AND(OR(L309&gt;=1,M309&lt;0.95),Y309&gt;120),"DATA CONFLICT - VERIFY",IF(OR(L309&gt;=1,M309&lt;0.95,Y309&lt;=14),"SERVICE / STOCKOUT REVIEW",IF(Y309&gt;120,"OVERSTOCK REVIEW",IF(S309&lt;=W309,"REPLENISHMENT REVIEW","NORMAL MONITORING"))))</f>
        <v/>
      </c>
      <c r="AA309" s="9">
        <f>IF(OR(Z309="DATA CONFLICT - VERIFY",Z309="SERVICE / STOCKOUT REVIEW"),0,IF(S309&lt;=W309,MAX(0,ROUNDUP(X309-S309,0)),0))</f>
        <v/>
      </c>
      <c r="AB309" s="8">
        <f>IF(Z309="DATA CONFLICT - VERIFY","P1 - DATA CONFLICT",IF(Z309="SERVICE / STOCKOUT REVIEW","P1 - SERVICE",IF(Z309="OVERSTOCK REVIEW","P2 - OVERSTOCK",IF(Z309="REPLENISHMENT REVIEW","P2 - REPLENISH","P3 - MONITOR"))))</f>
        <v/>
      </c>
      <c r="AC309" s="10" t="n">
        <v>10963.75200782269</v>
      </c>
      <c r="AD309" s="10" t="n">
        <v>8877.35000073403</v>
      </c>
      <c r="AE309" s="10">
        <f>IF(OR(AD309="",H309=""),"",H309*AD309)</f>
        <v/>
      </c>
    </row>
    <row r="310">
      <c r="A310" s="13" t="inlineStr">
        <is>
          <t>2022-12-31</t>
        </is>
      </c>
      <c r="B310" s="13" t="n">
        <v>667</v>
      </c>
      <c r="C310" s="14" t="inlineStr">
        <is>
          <t>SaigonFlex UC-32</t>
        </is>
      </c>
      <c r="D310" s="14" t="inlineStr">
        <is>
          <t>Streetwear</t>
        </is>
      </c>
      <c r="E310" s="13" t="inlineStr">
        <is>
          <t>Everyday</t>
        </is>
      </c>
      <c r="F310" s="13" t="inlineStr">
        <is>
          <t>XL</t>
        </is>
      </c>
      <c r="G310" s="13" t="inlineStr">
        <is>
          <t>silver</t>
        </is>
      </c>
      <c r="H310" s="15" t="n">
        <v>37</v>
      </c>
      <c r="I310" s="15" t="n">
        <v>6</v>
      </c>
      <c r="J310" s="16" t="n">
        <v>5.666666666666667</v>
      </c>
      <c r="K310" s="16">
        <f>IFERROR(J310/30,0)</f>
        <v/>
      </c>
      <c r="L310" s="15" t="n">
        <v>1</v>
      </c>
      <c r="M310" s="17" t="n">
        <v>0.9667</v>
      </c>
      <c r="N310" s="15" t="n">
        <v>1</v>
      </c>
      <c r="O310" s="15" t="n">
        <v>1</v>
      </c>
      <c r="P310" s="15" t="n">
        <v>0</v>
      </c>
      <c r="Q310" s="12" t="n">
        <v>0</v>
      </c>
      <c r="R310" s="12" t="n">
        <v>0</v>
      </c>
      <c r="S310" s="15">
        <f>H310+Q310-R310</f>
        <v/>
      </c>
      <c r="T310" s="12" t="n">
        <v>14</v>
      </c>
      <c r="U310" s="12" t="n">
        <v>7</v>
      </c>
      <c r="V310" s="12" t="n">
        <v>7</v>
      </c>
      <c r="W310" s="16">
        <f>K310*(T310+U310)</f>
        <v/>
      </c>
      <c r="X310" s="16">
        <f>K310*(T310+U310+V310)</f>
        <v/>
      </c>
      <c r="Y310" s="16">
        <f>IF(K310&gt;0,H310/K310,99999)</f>
        <v/>
      </c>
      <c r="Z310" s="14">
        <f>IF(AND(OR(L310&gt;=1,M310&lt;0.95),Y310&gt;120),"DATA CONFLICT - VERIFY",IF(OR(L310&gt;=1,M310&lt;0.95,Y310&lt;=14),"SERVICE / STOCKOUT REVIEW",IF(Y310&gt;120,"OVERSTOCK REVIEW",IF(S310&lt;=W310,"REPLENISHMENT REVIEW","NORMAL MONITORING"))))</f>
        <v/>
      </c>
      <c r="AA310" s="15">
        <f>IF(OR(Z310="DATA CONFLICT - VERIFY",Z310="SERVICE / STOCKOUT REVIEW"),0,IF(S310&lt;=W310,MAX(0,ROUNDUP(X310-S310,0)),0))</f>
        <v/>
      </c>
      <c r="AB310" s="14">
        <f>IF(Z310="DATA CONFLICT - VERIFY","P1 - DATA CONFLICT",IF(Z310="SERVICE / STOCKOUT REVIEW","P1 - SERVICE",IF(Z310="OVERSTOCK REVIEW","P2 - OVERSTOCK",IF(Z310="REPLENISHMENT REVIEW","P2 - REPLENISH","P3 - MONITOR"))))</f>
        <v/>
      </c>
      <c r="AC310" s="16" t="n">
        <v>9799.404146341463</v>
      </c>
      <c r="AD310" s="16" t="n">
        <v>9309.433939024389</v>
      </c>
      <c r="AE310" s="16">
        <f>IF(OR(AD310="",H310=""),"",H310*AD310)</f>
        <v/>
      </c>
    </row>
    <row r="311">
      <c r="A311" s="7" t="inlineStr">
        <is>
          <t>2022-12-31</t>
        </is>
      </c>
      <c r="B311" s="7" t="n">
        <v>668</v>
      </c>
      <c r="C311" s="8" t="inlineStr">
        <is>
          <t>SaigonFlex UC-33</t>
        </is>
      </c>
      <c r="D311" s="8" t="inlineStr">
        <is>
          <t>Streetwear</t>
        </is>
      </c>
      <c r="E311" s="7" t="inlineStr">
        <is>
          <t>Everyday</t>
        </is>
      </c>
      <c r="F311" s="7" t="inlineStr">
        <is>
          <t>S</t>
        </is>
      </c>
      <c r="G311" s="7" t="inlineStr">
        <is>
          <t>pink</t>
        </is>
      </c>
      <c r="H311" s="9" t="n">
        <v>11</v>
      </c>
      <c r="I311" s="9" t="n">
        <v>18</v>
      </c>
      <c r="J311" s="10" t="n">
        <v>13.66666666666667</v>
      </c>
      <c r="K311" s="10">
        <f>IFERROR(J311/30,0)</f>
        <v/>
      </c>
      <c r="L311" s="9" t="n">
        <v>11</v>
      </c>
      <c r="M311" s="11" t="n">
        <v>0.6333</v>
      </c>
      <c r="N311" s="9" t="n">
        <v>1</v>
      </c>
      <c r="O311" s="9" t="n">
        <v>0</v>
      </c>
      <c r="P311" s="9" t="n">
        <v>0</v>
      </c>
      <c r="Q311" s="12" t="n">
        <v>0</v>
      </c>
      <c r="R311" s="12" t="n">
        <v>0</v>
      </c>
      <c r="S311" s="9">
        <f>H311+Q311-R311</f>
        <v/>
      </c>
      <c r="T311" s="12" t="n">
        <v>14</v>
      </c>
      <c r="U311" s="12" t="n">
        <v>7</v>
      </c>
      <c r="V311" s="12" t="n">
        <v>7</v>
      </c>
      <c r="W311" s="10">
        <f>K311*(T311+U311)</f>
        <v/>
      </c>
      <c r="X311" s="10">
        <f>K311*(T311+U311+V311)</f>
        <v/>
      </c>
      <c r="Y311" s="10">
        <f>IF(K311&gt;0,H311/K311,99999)</f>
        <v/>
      </c>
      <c r="Z311" s="8">
        <f>IF(AND(OR(L311&gt;=1,M311&lt;0.95),Y311&gt;120),"DATA CONFLICT - VERIFY",IF(OR(L311&gt;=1,M311&lt;0.95,Y311&lt;=14),"SERVICE / STOCKOUT REVIEW",IF(Y311&gt;120,"OVERSTOCK REVIEW",IF(S311&lt;=W311,"REPLENISHMENT REVIEW","NORMAL MONITORING"))))</f>
        <v/>
      </c>
      <c r="AA311" s="9">
        <f>IF(OR(Z311="DATA CONFLICT - VERIFY",Z311="SERVICE / STOCKOUT REVIEW"),0,IF(S311&lt;=W311,MAX(0,ROUNDUP(X311-S311,0)),0))</f>
        <v/>
      </c>
      <c r="AB311" s="8">
        <f>IF(Z311="DATA CONFLICT - VERIFY","P1 - DATA CONFLICT",IF(Z311="SERVICE / STOCKOUT REVIEW","P1 - SERVICE",IF(Z311="OVERSTOCK REVIEW","P2 - OVERSTOCK",IF(Z311="REPLENISHMENT REVIEW","P2 - REPLENISH","P3 - MONITOR"))))</f>
        <v/>
      </c>
      <c r="AC311" s="10" t="n">
        <v>16826.67</v>
      </c>
      <c r="AD311" s="10" t="n">
        <v>12741.154524</v>
      </c>
      <c r="AE311" s="10">
        <f>IF(OR(AD311="",H311=""),"",H311*AD311)</f>
        <v/>
      </c>
    </row>
    <row r="312">
      <c r="A312" s="13" t="inlineStr">
        <is>
          <t>2022-12-31</t>
        </is>
      </c>
      <c r="B312" s="13" t="n">
        <v>674</v>
      </c>
      <c r="C312" s="14" t="inlineStr">
        <is>
          <t>SaigonFlex UC-39</t>
        </is>
      </c>
      <c r="D312" s="14" t="inlineStr">
        <is>
          <t>Streetwear</t>
        </is>
      </c>
      <c r="E312" s="13" t="inlineStr">
        <is>
          <t>Everyday</t>
        </is>
      </c>
      <c r="F312" s="13" t="inlineStr">
        <is>
          <t>L</t>
        </is>
      </c>
      <c r="G312" s="13" t="inlineStr">
        <is>
          <t>white</t>
        </is>
      </c>
      <c r="H312" s="15" t="n">
        <v>653</v>
      </c>
      <c r="I312" s="15" t="n">
        <v>8</v>
      </c>
      <c r="J312" s="16" t="n">
        <v>15.33333333333333</v>
      </c>
      <c r="K312" s="16">
        <f>IFERROR(J312/30,0)</f>
        <v/>
      </c>
      <c r="L312" s="15" t="n">
        <v>1</v>
      </c>
      <c r="M312" s="17" t="n">
        <v>0.9667</v>
      </c>
      <c r="N312" s="15" t="n">
        <v>1</v>
      </c>
      <c r="O312" s="15" t="n">
        <v>1</v>
      </c>
      <c r="P312" s="15" t="n">
        <v>0</v>
      </c>
      <c r="Q312" s="12" t="n">
        <v>0</v>
      </c>
      <c r="R312" s="12" t="n">
        <v>0</v>
      </c>
      <c r="S312" s="15">
        <f>H312+Q312-R312</f>
        <v/>
      </c>
      <c r="T312" s="12" t="n">
        <v>14</v>
      </c>
      <c r="U312" s="12" t="n">
        <v>7</v>
      </c>
      <c r="V312" s="12" t="n">
        <v>7</v>
      </c>
      <c r="W312" s="16">
        <f>K312*(T312+U312)</f>
        <v/>
      </c>
      <c r="X312" s="16">
        <f>K312*(T312+U312+V312)</f>
        <v/>
      </c>
      <c r="Y312" s="16">
        <f>IF(K312&gt;0,H312/K312,99999)</f>
        <v/>
      </c>
      <c r="Z312" s="14">
        <f>IF(AND(OR(L312&gt;=1,M312&lt;0.95),Y312&gt;120),"DATA CONFLICT - VERIFY",IF(OR(L312&gt;=1,M312&lt;0.95,Y312&lt;=14),"SERVICE / STOCKOUT REVIEW",IF(Y312&gt;120,"OVERSTOCK REVIEW",IF(S312&lt;=W312,"REPLENISHMENT REVIEW","NORMAL MONITORING"))))</f>
        <v/>
      </c>
      <c r="AA312" s="15">
        <f>IF(OR(Z312="DATA CONFLICT - VERIFY",Z312="SERVICE / STOCKOUT REVIEW"),0,IF(S312&lt;=W312,MAX(0,ROUNDUP(X312-S312,0)),0))</f>
        <v/>
      </c>
      <c r="AB312" s="14">
        <f>IF(Z312="DATA CONFLICT - VERIFY","P1 - DATA CONFLICT",IF(Z312="SERVICE / STOCKOUT REVIEW","P1 - SERVICE",IF(Z312="OVERSTOCK REVIEW","P2 - OVERSTOCK",IF(Z312="REPLENISHMENT REVIEW","P2 - REPLENISH","P3 - MONITOR"))))</f>
        <v/>
      </c>
      <c r="AC312" s="16" t="n">
        <v>8419.577208862469</v>
      </c>
      <c r="AD312" s="16" t="n">
        <v>6274.268936044312</v>
      </c>
      <c r="AE312" s="16">
        <f>IF(OR(AD312="",H312=""),"",H312*AD312)</f>
        <v/>
      </c>
    </row>
    <row r="313">
      <c r="A313" s="7" t="inlineStr">
        <is>
          <t>2022-12-31</t>
        </is>
      </c>
      <c r="B313" s="7" t="n">
        <v>688</v>
      </c>
      <c r="C313" s="8" t="inlineStr">
        <is>
          <t>SaigonFlex UC-53</t>
        </is>
      </c>
      <c r="D313" s="8" t="inlineStr">
        <is>
          <t>Streetwear</t>
        </is>
      </c>
      <c r="E313" s="7" t="inlineStr">
        <is>
          <t>Everyday</t>
        </is>
      </c>
      <c r="F313" s="7" t="inlineStr">
        <is>
          <t>S</t>
        </is>
      </c>
      <c r="G313" s="7" t="inlineStr">
        <is>
          <t>pink</t>
        </is>
      </c>
      <c r="H313" s="9" t="n">
        <v>111</v>
      </c>
      <c r="I313" s="9" t="n">
        <v>11</v>
      </c>
      <c r="J313" s="10" t="n">
        <v>13.66666666666667</v>
      </c>
      <c r="K313" s="10">
        <f>IFERROR(J313/30,0)</f>
        <v/>
      </c>
      <c r="L313" s="9" t="n">
        <v>0</v>
      </c>
      <c r="M313" s="11" t="n">
        <v>1</v>
      </c>
      <c r="N313" s="9" t="n">
        <v>0</v>
      </c>
      <c r="O313" s="9" t="n">
        <v>1</v>
      </c>
      <c r="P313" s="9" t="n">
        <v>0</v>
      </c>
      <c r="Q313" s="12" t="n">
        <v>0</v>
      </c>
      <c r="R313" s="12" t="n">
        <v>0</v>
      </c>
      <c r="S313" s="9">
        <f>H313+Q313-R313</f>
        <v/>
      </c>
      <c r="T313" s="12" t="n">
        <v>14</v>
      </c>
      <c r="U313" s="12" t="n">
        <v>7</v>
      </c>
      <c r="V313" s="12" t="n">
        <v>7</v>
      </c>
      <c r="W313" s="10">
        <f>K313*(T313+U313)</f>
        <v/>
      </c>
      <c r="X313" s="10">
        <f>K313*(T313+U313+V313)</f>
        <v/>
      </c>
      <c r="Y313" s="10">
        <f>IF(K313&gt;0,H313/K313,99999)</f>
        <v/>
      </c>
      <c r="Z313" s="8">
        <f>IF(AND(OR(L313&gt;=1,M313&lt;0.95),Y313&gt;120),"DATA CONFLICT - VERIFY",IF(OR(L313&gt;=1,M313&lt;0.95,Y313&lt;=14),"SERVICE / STOCKOUT REVIEW",IF(Y313&gt;120,"OVERSTOCK REVIEW",IF(S313&lt;=W313,"REPLENISHMENT REVIEW","NORMAL MONITORING"))))</f>
        <v/>
      </c>
      <c r="AA313" s="9">
        <f>IF(OR(Z313="DATA CONFLICT - VERIFY",Z313="SERVICE / STOCKOUT REVIEW"),0,IF(S313&lt;=W313,MAX(0,ROUNDUP(X313-S313,0)),0))</f>
        <v/>
      </c>
      <c r="AB313" s="8">
        <f>IF(Z313="DATA CONFLICT - VERIFY","P1 - DATA CONFLICT",IF(Z313="SERVICE / STOCKOUT REVIEW","P1 - SERVICE",IF(Z313="OVERSTOCK REVIEW","P2 - OVERSTOCK",IF(Z313="REPLENISHMENT REVIEW","P2 - REPLENISH","P3 - MONITOR"))))</f>
        <v/>
      </c>
      <c r="AC313" s="10" t="n">
        <v>6694.905</v>
      </c>
      <c r="AD313" s="10" t="n">
        <v>5116.246400999999</v>
      </c>
      <c r="AE313" s="10">
        <f>IF(OR(AD313="",H313=""),"",H313*AD313)</f>
        <v/>
      </c>
    </row>
    <row r="314">
      <c r="A314" s="13" t="inlineStr">
        <is>
          <t>2022-12-31</t>
        </is>
      </c>
      <c r="B314" s="13" t="n">
        <v>690</v>
      </c>
      <c r="C314" s="14" t="inlineStr">
        <is>
          <t>SaigonFlex UC-55</t>
        </is>
      </c>
      <c r="D314" s="14" t="inlineStr">
        <is>
          <t>Streetwear</t>
        </is>
      </c>
      <c r="E314" s="13" t="inlineStr">
        <is>
          <t>Everyday</t>
        </is>
      </c>
      <c r="F314" s="13" t="inlineStr">
        <is>
          <t>L</t>
        </is>
      </c>
      <c r="G314" s="13" t="inlineStr">
        <is>
          <t>red</t>
        </is>
      </c>
      <c r="H314" s="15" t="n">
        <v>670</v>
      </c>
      <c r="I314" s="15" t="n">
        <v>11</v>
      </c>
      <c r="J314" s="16" t="n">
        <v>13.33333333333333</v>
      </c>
      <c r="K314" s="16">
        <f>IFERROR(J314/30,0)</f>
        <v/>
      </c>
      <c r="L314" s="15" t="n">
        <v>1</v>
      </c>
      <c r="M314" s="17" t="n">
        <v>0.9667</v>
      </c>
      <c r="N314" s="15" t="n">
        <v>1</v>
      </c>
      <c r="O314" s="15" t="n">
        <v>1</v>
      </c>
      <c r="P314" s="15" t="n">
        <v>0</v>
      </c>
      <c r="Q314" s="12" t="n">
        <v>0</v>
      </c>
      <c r="R314" s="12" t="n">
        <v>0</v>
      </c>
      <c r="S314" s="15">
        <f>H314+Q314-R314</f>
        <v/>
      </c>
      <c r="T314" s="12" t="n">
        <v>14</v>
      </c>
      <c r="U314" s="12" t="n">
        <v>7</v>
      </c>
      <c r="V314" s="12" t="n">
        <v>7</v>
      </c>
      <c r="W314" s="16">
        <f>K314*(T314+U314)</f>
        <v/>
      </c>
      <c r="X314" s="16">
        <f>K314*(T314+U314+V314)</f>
        <v/>
      </c>
      <c r="Y314" s="16">
        <f>IF(K314&gt;0,H314/K314,99999)</f>
        <v/>
      </c>
      <c r="Z314" s="14">
        <f>IF(AND(OR(L314&gt;=1,M314&lt;0.95),Y314&gt;120),"DATA CONFLICT - VERIFY",IF(OR(L314&gt;=1,M314&lt;0.95,Y314&lt;=14),"SERVICE / STOCKOUT REVIEW",IF(Y314&gt;120,"OVERSTOCK REVIEW",IF(S314&lt;=W314,"REPLENISHMENT REVIEW","NORMAL MONITORING"))))</f>
        <v/>
      </c>
      <c r="AA314" s="15">
        <f>IF(OR(Z314="DATA CONFLICT - VERIFY",Z314="SERVICE / STOCKOUT REVIEW"),0,IF(S314&lt;=W314,MAX(0,ROUNDUP(X314-S314,0)),0))</f>
        <v/>
      </c>
      <c r="AB314" s="14">
        <f>IF(Z314="DATA CONFLICT - VERIFY","P1 - DATA CONFLICT",IF(Z314="SERVICE / STOCKOUT REVIEW","P1 - SERVICE",IF(Z314="OVERSTOCK REVIEW","P2 - OVERSTOCK",IF(Z314="REPLENISHMENT REVIEW","P2 - REPLENISH","P3 - MONITOR"))))</f>
        <v/>
      </c>
      <c r="AC314" s="16" t="n">
        <v>4598.817231121282</v>
      </c>
      <c r="AD314" s="16" t="n">
        <v>3100.062695498856</v>
      </c>
      <c r="AE314" s="16">
        <f>IF(OR(AD314="",H314=""),"",H314*AD314)</f>
        <v/>
      </c>
    </row>
    <row r="315">
      <c r="A315" s="7" t="inlineStr">
        <is>
          <t>2022-12-31</t>
        </is>
      </c>
      <c r="B315" s="7" t="n">
        <v>819</v>
      </c>
      <c r="C315" s="8" t="inlineStr">
        <is>
          <t>HanoiStreet UM-03</t>
        </is>
      </c>
      <c r="D315" s="8" t="inlineStr">
        <is>
          <t>Streetwear</t>
        </is>
      </c>
      <c r="E315" s="7" t="inlineStr">
        <is>
          <t>Balanced</t>
        </is>
      </c>
      <c r="F315" s="7" t="inlineStr">
        <is>
          <t>XL</t>
        </is>
      </c>
      <c r="G315" s="7" t="inlineStr">
        <is>
          <t>yellow</t>
        </is>
      </c>
      <c r="H315" s="9" t="n">
        <v>453</v>
      </c>
      <c r="I315" s="9" t="n">
        <v>9</v>
      </c>
      <c r="J315" s="10" t="n">
        <v>9</v>
      </c>
      <c r="K315" s="10">
        <f>IFERROR(J315/30,0)</f>
        <v/>
      </c>
      <c r="L315" s="9" t="n">
        <v>0</v>
      </c>
      <c r="M315" s="11" t="n">
        <v>1</v>
      </c>
      <c r="N315" s="9" t="n">
        <v>0</v>
      </c>
      <c r="O315" s="9" t="n">
        <v>1</v>
      </c>
      <c r="P315" s="9" t="n">
        <v>0</v>
      </c>
      <c r="Q315" s="12" t="n">
        <v>0</v>
      </c>
      <c r="R315" s="12" t="n">
        <v>0</v>
      </c>
      <c r="S315" s="9">
        <f>H315+Q315-R315</f>
        <v/>
      </c>
      <c r="T315" s="12" t="n">
        <v>14</v>
      </c>
      <c r="U315" s="12" t="n">
        <v>7</v>
      </c>
      <c r="V315" s="12" t="n">
        <v>7</v>
      </c>
      <c r="W315" s="10">
        <f>K315*(T315+U315)</f>
        <v/>
      </c>
      <c r="X315" s="10">
        <f>K315*(T315+U315+V315)</f>
        <v/>
      </c>
      <c r="Y315" s="10">
        <f>IF(K315&gt;0,H315/K315,99999)</f>
        <v/>
      </c>
      <c r="Z315" s="8">
        <f>IF(AND(OR(L315&gt;=1,M315&lt;0.95),Y315&gt;120),"DATA CONFLICT - VERIFY",IF(OR(L315&gt;=1,M315&lt;0.95,Y315&lt;=14),"SERVICE / STOCKOUT REVIEW",IF(Y315&gt;120,"OVERSTOCK REVIEW",IF(S315&lt;=W315,"REPLENISHMENT REVIEW","NORMAL MONITORING"))))</f>
        <v/>
      </c>
      <c r="AA315" s="9">
        <f>IF(OR(Z315="DATA CONFLICT - VERIFY",Z315="SERVICE / STOCKOUT REVIEW"),0,IF(S315&lt;=W315,MAX(0,ROUNDUP(X315-S315,0)),0))</f>
        <v/>
      </c>
      <c r="AB315" s="8">
        <f>IF(Z315="DATA CONFLICT - VERIFY","P1 - DATA CONFLICT",IF(Z315="SERVICE / STOCKOUT REVIEW","P1 - SERVICE",IF(Z315="OVERSTOCK REVIEW","P2 - OVERSTOCK",IF(Z315="REPLENISHMENT REVIEW","P2 - REPLENISH","P3 - MONITOR"))))</f>
        <v/>
      </c>
      <c r="AC315" s="10" t="n">
        <v>14579.50153846154</v>
      </c>
      <c r="AD315" s="10" t="n">
        <v>12477.13741661539</v>
      </c>
      <c r="AE315" s="10">
        <f>IF(OR(AD315="",H315=""),"",H315*AD315)</f>
        <v/>
      </c>
    </row>
    <row r="316">
      <c r="A316" s="13" t="inlineStr">
        <is>
          <t>2022-12-31</t>
        </is>
      </c>
      <c r="B316" s="13" t="n">
        <v>822</v>
      </c>
      <c r="C316" s="14" t="inlineStr">
        <is>
          <t>HanoiStreet UM-06</t>
        </is>
      </c>
      <c r="D316" s="14" t="inlineStr">
        <is>
          <t>Streetwear</t>
        </is>
      </c>
      <c r="E316" s="13" t="inlineStr">
        <is>
          <t>Balanced</t>
        </is>
      </c>
      <c r="F316" s="13" t="inlineStr">
        <is>
          <t>L</t>
        </is>
      </c>
      <c r="G316" s="13" t="inlineStr">
        <is>
          <t>orange</t>
        </is>
      </c>
      <c r="H316" s="15" t="n">
        <v>43</v>
      </c>
      <c r="I316" s="15" t="n">
        <v>11</v>
      </c>
      <c r="J316" s="16" t="n">
        <v>17.33333333333333</v>
      </c>
      <c r="K316" s="16">
        <f>IFERROR(J316/30,0)</f>
        <v/>
      </c>
      <c r="L316" s="15" t="n">
        <v>0</v>
      </c>
      <c r="M316" s="17" t="n">
        <v>1</v>
      </c>
      <c r="N316" s="15" t="n">
        <v>0</v>
      </c>
      <c r="O316" s="15" t="n">
        <v>1</v>
      </c>
      <c r="P316" s="15" t="n">
        <v>0</v>
      </c>
      <c r="Q316" s="12" t="n">
        <v>0</v>
      </c>
      <c r="R316" s="12" t="n">
        <v>0</v>
      </c>
      <c r="S316" s="15">
        <f>H316+Q316-R316</f>
        <v/>
      </c>
      <c r="T316" s="12" t="n">
        <v>14</v>
      </c>
      <c r="U316" s="12" t="n">
        <v>7</v>
      </c>
      <c r="V316" s="12" t="n">
        <v>7</v>
      </c>
      <c r="W316" s="16">
        <f>K316*(T316+U316)</f>
        <v/>
      </c>
      <c r="X316" s="16">
        <f>K316*(T316+U316+V316)</f>
        <v/>
      </c>
      <c r="Y316" s="16">
        <f>IF(K316&gt;0,H316/K316,99999)</f>
        <v/>
      </c>
      <c r="Z316" s="14">
        <f>IF(AND(OR(L316&gt;=1,M316&lt;0.95),Y316&gt;120),"DATA CONFLICT - VERIFY",IF(OR(L316&gt;=1,M316&lt;0.95,Y316&lt;=14),"SERVICE / STOCKOUT REVIEW",IF(Y316&gt;120,"OVERSTOCK REVIEW",IF(S316&lt;=W316,"REPLENISHMENT REVIEW","NORMAL MONITORING"))))</f>
        <v/>
      </c>
      <c r="AA316" s="15">
        <f>IF(OR(Z316="DATA CONFLICT - VERIFY",Z316="SERVICE / STOCKOUT REVIEW"),0,IF(S316&lt;=W316,MAX(0,ROUNDUP(X316-S316,0)),0))</f>
        <v/>
      </c>
      <c r="AB316" s="14">
        <f>IF(Z316="DATA CONFLICT - VERIFY","P1 - DATA CONFLICT",IF(Z316="SERVICE / STOCKOUT REVIEW","P1 - SERVICE",IF(Z316="OVERSTOCK REVIEW","P2 - OVERSTOCK",IF(Z316="REPLENISHMENT REVIEW","P2 - REPLENISH","P3 - MONITOR"))))</f>
        <v/>
      </c>
      <c r="AC316" s="16" t="n">
        <v>4674.729036144578</v>
      </c>
      <c r="AD316" s="16" t="n">
        <v>4440.992584337349</v>
      </c>
      <c r="AE316" s="16">
        <f>IF(OR(AD316="",H316=""),"",H316*AD316)</f>
        <v/>
      </c>
    </row>
    <row r="317">
      <c r="A317" s="7" t="inlineStr">
        <is>
          <t>2022-12-31</t>
        </is>
      </c>
      <c r="B317" s="7" t="n">
        <v>826</v>
      </c>
      <c r="C317" s="8" t="inlineStr">
        <is>
          <t>HanoiStreet UM-10</t>
        </is>
      </c>
      <c r="D317" s="8" t="inlineStr">
        <is>
          <t>Streetwear</t>
        </is>
      </c>
      <c r="E317" s="7" t="inlineStr">
        <is>
          <t>Balanced</t>
        </is>
      </c>
      <c r="F317" s="7" t="inlineStr">
        <is>
          <t>L</t>
        </is>
      </c>
      <c r="G317" s="7" t="inlineStr">
        <is>
          <t>green</t>
        </is>
      </c>
      <c r="H317" s="9" t="n">
        <v>1960</v>
      </c>
      <c r="I317" s="9" t="n">
        <v>22</v>
      </c>
      <c r="J317" s="10" t="n">
        <v>22.66666666666667</v>
      </c>
      <c r="K317" s="10">
        <f>IFERROR(J317/30,0)</f>
        <v/>
      </c>
      <c r="L317" s="9" t="n">
        <v>0</v>
      </c>
      <c r="M317" s="11" t="n">
        <v>1</v>
      </c>
      <c r="N317" s="9" t="n">
        <v>0</v>
      </c>
      <c r="O317" s="9" t="n">
        <v>1</v>
      </c>
      <c r="P317" s="9" t="n">
        <v>0</v>
      </c>
      <c r="Q317" s="12" t="n">
        <v>0</v>
      </c>
      <c r="R317" s="12" t="n">
        <v>0</v>
      </c>
      <c r="S317" s="9">
        <f>H317+Q317-R317</f>
        <v/>
      </c>
      <c r="T317" s="12" t="n">
        <v>14</v>
      </c>
      <c r="U317" s="12" t="n">
        <v>7</v>
      </c>
      <c r="V317" s="12" t="n">
        <v>7</v>
      </c>
      <c r="W317" s="10">
        <f>K317*(T317+U317)</f>
        <v/>
      </c>
      <c r="X317" s="10">
        <f>K317*(T317+U317+V317)</f>
        <v/>
      </c>
      <c r="Y317" s="10">
        <f>IF(K317&gt;0,H317/K317,99999)</f>
        <v/>
      </c>
      <c r="Z317" s="8">
        <f>IF(AND(OR(L317&gt;=1,M317&lt;0.95),Y317&gt;120),"DATA CONFLICT - VERIFY",IF(OR(L317&gt;=1,M317&lt;0.95,Y317&lt;=14),"SERVICE / STOCKOUT REVIEW",IF(Y317&gt;120,"OVERSTOCK REVIEW",IF(S317&lt;=W317,"REPLENISHMENT REVIEW","NORMAL MONITORING"))))</f>
        <v/>
      </c>
      <c r="AA317" s="9">
        <f>IF(OR(Z317="DATA CONFLICT - VERIFY",Z317="SERVICE / STOCKOUT REVIEW"),0,IF(S317&lt;=W317,MAX(0,ROUNDUP(X317-S317,0)),0))</f>
        <v/>
      </c>
      <c r="AB317" s="8">
        <f>IF(Z317="DATA CONFLICT - VERIFY","P1 - DATA CONFLICT",IF(Z317="SERVICE / STOCKOUT REVIEW","P1 - SERVICE",IF(Z317="OVERSTOCK REVIEW","P2 - OVERSTOCK",IF(Z317="REPLENISHMENT REVIEW","P2 - REPLENISH","P3 - MONITOR"))))</f>
        <v/>
      </c>
      <c r="AC317" s="10" t="n">
        <v>12730.4054284727</v>
      </c>
      <c r="AD317" s="10" t="n">
        <v>12093.88515704907</v>
      </c>
      <c r="AE317" s="10">
        <f>IF(OR(AD317="",H317=""),"",H317*AD317)</f>
        <v/>
      </c>
    </row>
    <row r="318">
      <c r="A318" s="13" t="inlineStr">
        <is>
          <t>2022-12-31</t>
        </is>
      </c>
      <c r="B318" s="13" t="n">
        <v>839</v>
      </c>
      <c r="C318" s="14" t="inlineStr">
        <is>
          <t>HanoiStreet UM-23</t>
        </is>
      </c>
      <c r="D318" s="14" t="inlineStr">
        <is>
          <t>Streetwear</t>
        </is>
      </c>
      <c r="E318" s="13" t="inlineStr">
        <is>
          <t>Balanced</t>
        </is>
      </c>
      <c r="F318" s="13" t="inlineStr">
        <is>
          <t>XL</t>
        </is>
      </c>
      <c r="G318" s="13" t="inlineStr">
        <is>
          <t>yellow</t>
        </is>
      </c>
      <c r="H318" s="15" t="n">
        <v>53</v>
      </c>
      <c r="I318" s="15" t="n">
        <v>1</v>
      </c>
      <c r="J318" s="16" t="n">
        <v>1.333333333333333</v>
      </c>
      <c r="K318" s="16">
        <f>IFERROR(J318/30,0)</f>
        <v/>
      </c>
      <c r="L318" s="15" t="n">
        <v>2</v>
      </c>
      <c r="M318" s="17" t="n">
        <v>0.9333</v>
      </c>
      <c r="N318" s="15" t="n">
        <v>1</v>
      </c>
      <c r="O318" s="15" t="n">
        <v>1</v>
      </c>
      <c r="P318" s="15" t="n">
        <v>0</v>
      </c>
      <c r="Q318" s="12" t="n">
        <v>0</v>
      </c>
      <c r="R318" s="12" t="n">
        <v>0</v>
      </c>
      <c r="S318" s="15">
        <f>H318+Q318-R318</f>
        <v/>
      </c>
      <c r="T318" s="12" t="n">
        <v>14</v>
      </c>
      <c r="U318" s="12" t="n">
        <v>7</v>
      </c>
      <c r="V318" s="12" t="n">
        <v>7</v>
      </c>
      <c r="W318" s="16">
        <f>K318*(T318+U318)</f>
        <v/>
      </c>
      <c r="X318" s="16">
        <f>K318*(T318+U318+V318)</f>
        <v/>
      </c>
      <c r="Y318" s="16">
        <f>IF(K318&gt;0,H318/K318,99999)</f>
        <v/>
      </c>
      <c r="Z318" s="14">
        <f>IF(AND(OR(L318&gt;=1,M318&lt;0.95),Y318&gt;120),"DATA CONFLICT - VERIFY",IF(OR(L318&gt;=1,M318&lt;0.95,Y318&lt;=14),"SERVICE / STOCKOUT REVIEW",IF(Y318&gt;120,"OVERSTOCK REVIEW",IF(S318&lt;=W318,"REPLENISHMENT REVIEW","NORMAL MONITORING"))))</f>
        <v/>
      </c>
      <c r="AA318" s="15">
        <f>IF(OR(Z318="DATA CONFLICT - VERIFY",Z318="SERVICE / STOCKOUT REVIEW"),0,IF(S318&lt;=W318,MAX(0,ROUNDUP(X318-S318,0)),0))</f>
        <v/>
      </c>
      <c r="AB318" s="14">
        <f>IF(Z318="DATA CONFLICT - VERIFY","P1 - DATA CONFLICT",IF(Z318="SERVICE / STOCKOUT REVIEW","P1 - SERVICE",IF(Z318="OVERSTOCK REVIEW","P2 - OVERSTOCK",IF(Z318="REPLENISHMENT REVIEW","P2 - REPLENISH","P3 - MONITOR"))))</f>
        <v/>
      </c>
      <c r="AC318" s="16" t="n">
        <v>9597.8685</v>
      </c>
      <c r="AD318" s="16" t="n">
        <v>7830.90090915</v>
      </c>
      <c r="AE318" s="16">
        <f>IF(OR(AD318="",H318=""),"",H318*AD318)</f>
        <v/>
      </c>
    </row>
    <row r="319">
      <c r="A319" s="7" t="inlineStr">
        <is>
          <t>2022-12-31</t>
        </is>
      </c>
      <c r="B319" s="7" t="n">
        <v>896</v>
      </c>
      <c r="C319" s="8" t="inlineStr">
        <is>
          <t>HanoiStreet UE-05</t>
        </is>
      </c>
      <c r="D319" s="8" t="inlineStr">
        <is>
          <t>Streetwear</t>
        </is>
      </c>
      <c r="E319" s="7" t="inlineStr">
        <is>
          <t>Performance</t>
        </is>
      </c>
      <c r="F319" s="7" t="inlineStr">
        <is>
          <t>S</t>
        </is>
      </c>
      <c r="G319" s="7" t="inlineStr">
        <is>
          <t>green</t>
        </is>
      </c>
      <c r="H319" s="9" t="n">
        <v>3</v>
      </c>
      <c r="I319" s="9" t="n">
        <v>1</v>
      </c>
      <c r="J319" s="10" t="n">
        <v>1</v>
      </c>
      <c r="K319" s="10">
        <f>IFERROR(J319/30,0)</f>
        <v/>
      </c>
      <c r="L319" s="9" t="n">
        <v>1</v>
      </c>
      <c r="M319" s="11" t="n">
        <v>0.9667</v>
      </c>
      <c r="N319" s="9" t="n">
        <v>1</v>
      </c>
      <c r="O319" s="9" t="n">
        <v>0</v>
      </c>
      <c r="P319" s="9" t="n">
        <v>0</v>
      </c>
      <c r="Q319" s="12" t="n">
        <v>0</v>
      </c>
      <c r="R319" s="12" t="n">
        <v>0</v>
      </c>
      <c r="S319" s="9">
        <f>H319+Q319-R319</f>
        <v/>
      </c>
      <c r="T319" s="12" t="n">
        <v>14</v>
      </c>
      <c r="U319" s="12" t="n">
        <v>7</v>
      </c>
      <c r="V319" s="12" t="n">
        <v>7</v>
      </c>
      <c r="W319" s="10">
        <f>K319*(T319+U319)</f>
        <v/>
      </c>
      <c r="X319" s="10">
        <f>K319*(T319+U319+V319)</f>
        <v/>
      </c>
      <c r="Y319" s="10">
        <f>IF(K319&gt;0,H319/K319,99999)</f>
        <v/>
      </c>
      <c r="Z319" s="8">
        <f>IF(AND(OR(L319&gt;=1,M319&lt;0.95),Y319&gt;120),"DATA CONFLICT - VERIFY",IF(OR(L319&gt;=1,M319&lt;0.95,Y319&lt;=14),"SERVICE / STOCKOUT REVIEW",IF(Y319&gt;120,"OVERSTOCK REVIEW",IF(S319&lt;=W319,"REPLENISHMENT REVIEW","NORMAL MONITORING"))))</f>
        <v/>
      </c>
      <c r="AA319" s="9">
        <f>IF(OR(Z319="DATA CONFLICT - VERIFY",Z319="SERVICE / STOCKOUT REVIEW"),0,IF(S319&lt;=W319,MAX(0,ROUNDUP(X319-S319,0)),0))</f>
        <v/>
      </c>
      <c r="AB319" s="8">
        <f>IF(Z319="DATA CONFLICT - VERIFY","P1 - DATA CONFLICT",IF(Z319="SERVICE / STOCKOUT REVIEW","P1 - SERVICE",IF(Z319="OVERSTOCK REVIEW","P2 - OVERSTOCK",IF(Z319="REPLENISHMENT REVIEW","P2 - REPLENISH","P3 - MONITOR"))))</f>
        <v/>
      </c>
      <c r="AC319" s="10" t="n">
        <v>11024.37</v>
      </c>
      <c r="AD319" s="10" t="n">
        <v>7005.987135000001</v>
      </c>
      <c r="AE319" s="10">
        <f>IF(OR(AD319="",H319=""),"",H319*AD319)</f>
        <v/>
      </c>
    </row>
    <row r="320">
      <c r="A320" s="13" t="inlineStr">
        <is>
          <t>2022-12-31</t>
        </is>
      </c>
      <c r="B320" s="13" t="n">
        <v>899</v>
      </c>
      <c r="C320" s="14" t="inlineStr">
        <is>
          <t>HanoiStreet UE-08</t>
        </is>
      </c>
      <c r="D320" s="14" t="inlineStr">
        <is>
          <t>Streetwear</t>
        </is>
      </c>
      <c r="E320" s="13" t="inlineStr">
        <is>
          <t>Performance</t>
        </is>
      </c>
      <c r="F320" s="13" t="inlineStr">
        <is>
          <t>XL</t>
        </is>
      </c>
      <c r="G320" s="13" t="inlineStr">
        <is>
          <t>yellow</t>
        </is>
      </c>
      <c r="H320" s="15" t="n">
        <v>13</v>
      </c>
      <c r="I320" s="15" t="n">
        <v>2</v>
      </c>
      <c r="J320" s="16" t="n">
        <v>1.666666666666667</v>
      </c>
      <c r="K320" s="16">
        <f>IFERROR(J320/30,0)</f>
        <v/>
      </c>
      <c r="L320" s="15" t="n">
        <v>1</v>
      </c>
      <c r="M320" s="17" t="n">
        <v>0.9667</v>
      </c>
      <c r="N320" s="15" t="n">
        <v>1</v>
      </c>
      <c r="O320" s="15" t="n">
        <v>1</v>
      </c>
      <c r="P320" s="15" t="n">
        <v>0</v>
      </c>
      <c r="Q320" s="12" t="n">
        <v>0</v>
      </c>
      <c r="R320" s="12" t="n">
        <v>0</v>
      </c>
      <c r="S320" s="15">
        <f>H320+Q320-R320</f>
        <v/>
      </c>
      <c r="T320" s="12" t="n">
        <v>14</v>
      </c>
      <c r="U320" s="12" t="n">
        <v>7</v>
      </c>
      <c r="V320" s="12" t="n">
        <v>7</v>
      </c>
      <c r="W320" s="16">
        <f>K320*(T320+U320)</f>
        <v/>
      </c>
      <c r="X320" s="16">
        <f>K320*(T320+U320+V320)</f>
        <v/>
      </c>
      <c r="Y320" s="16">
        <f>IF(K320&gt;0,H320/K320,99999)</f>
        <v/>
      </c>
      <c r="Z320" s="14">
        <f>IF(AND(OR(L320&gt;=1,M320&lt;0.95),Y320&gt;120),"DATA CONFLICT - VERIFY",IF(OR(L320&gt;=1,M320&lt;0.95,Y320&lt;=14),"SERVICE / STOCKOUT REVIEW",IF(Y320&gt;120,"OVERSTOCK REVIEW",IF(S320&lt;=W320,"REPLENISHMENT REVIEW","NORMAL MONITORING"))))</f>
        <v/>
      </c>
      <c r="AA320" s="15">
        <f>IF(OR(Z320="DATA CONFLICT - VERIFY",Z320="SERVICE / STOCKOUT REVIEW"),0,IF(S320&lt;=W320,MAX(0,ROUNDUP(X320-S320,0)),0))</f>
        <v/>
      </c>
      <c r="AB320" s="14">
        <f>IF(Z320="DATA CONFLICT - VERIFY","P1 - DATA CONFLICT",IF(Z320="SERVICE / STOCKOUT REVIEW","P1 - SERVICE",IF(Z320="OVERSTOCK REVIEW","P2 - OVERSTOCK",IF(Z320="REPLENISHMENT REVIEW","P2 - REPLENISH","P3 - MONITOR"))))</f>
        <v/>
      </c>
      <c r="AC320" s="16" t="n">
        <v>7171.244594594595</v>
      </c>
      <c r="AD320" s="16" t="n">
        <v>6812.682364864864</v>
      </c>
      <c r="AE320" s="16">
        <f>IF(OR(AD320="",H320=""),"",H320*AD320)</f>
        <v/>
      </c>
    </row>
    <row r="321">
      <c r="A321" s="7" t="inlineStr">
        <is>
          <t>2022-12-31</t>
        </is>
      </c>
      <c r="B321" s="7" t="n">
        <v>907</v>
      </c>
      <c r="C321" s="8" t="inlineStr">
        <is>
          <t>HanoiStreet UE-16</t>
        </is>
      </c>
      <c r="D321" s="8" t="inlineStr">
        <is>
          <t>Streetwear</t>
        </is>
      </c>
      <c r="E321" s="7" t="inlineStr">
        <is>
          <t>Performance</t>
        </is>
      </c>
      <c r="F321" s="7" t="inlineStr">
        <is>
          <t>XL</t>
        </is>
      </c>
      <c r="G321" s="7" t="inlineStr">
        <is>
          <t>silver</t>
        </is>
      </c>
      <c r="H321" s="9" t="n">
        <v>1146</v>
      </c>
      <c r="I321" s="9" t="n">
        <v>4</v>
      </c>
      <c r="J321" s="10" t="n">
        <v>8.666666666666666</v>
      </c>
      <c r="K321" s="10">
        <f>IFERROR(J321/30,0)</f>
        <v/>
      </c>
      <c r="L321" s="9" t="n">
        <v>0</v>
      </c>
      <c r="M321" s="11" t="n">
        <v>1</v>
      </c>
      <c r="N321" s="9" t="n">
        <v>0</v>
      </c>
      <c r="O321" s="9" t="n">
        <v>1</v>
      </c>
      <c r="P321" s="9" t="n">
        <v>0</v>
      </c>
      <c r="Q321" s="12" t="n">
        <v>0</v>
      </c>
      <c r="R321" s="12" t="n">
        <v>0</v>
      </c>
      <c r="S321" s="9">
        <f>H321+Q321-R321</f>
        <v/>
      </c>
      <c r="T321" s="12" t="n">
        <v>14</v>
      </c>
      <c r="U321" s="12" t="n">
        <v>7</v>
      </c>
      <c r="V321" s="12" t="n">
        <v>7</v>
      </c>
      <c r="W321" s="10">
        <f>K321*(T321+U321)</f>
        <v/>
      </c>
      <c r="X321" s="10">
        <f>K321*(T321+U321+V321)</f>
        <v/>
      </c>
      <c r="Y321" s="10">
        <f>IF(K321&gt;0,H321/K321,99999)</f>
        <v/>
      </c>
      <c r="Z321" s="8">
        <f>IF(AND(OR(L321&gt;=1,M321&lt;0.95),Y321&gt;120),"DATA CONFLICT - VERIFY",IF(OR(L321&gt;=1,M321&lt;0.95,Y321&lt;=14),"SERVICE / STOCKOUT REVIEW",IF(Y321&gt;120,"OVERSTOCK REVIEW",IF(S321&lt;=W321,"REPLENISHMENT REVIEW","NORMAL MONITORING"))))</f>
        <v/>
      </c>
      <c r="AA321" s="9">
        <f>IF(OR(Z321="DATA CONFLICT - VERIFY",Z321="SERVICE / STOCKOUT REVIEW"),0,IF(S321&lt;=W321,MAX(0,ROUNDUP(X321-S321,0)),0))</f>
        <v/>
      </c>
      <c r="AB321" s="8">
        <f>IF(Z321="DATA CONFLICT - VERIFY","P1 - DATA CONFLICT",IF(Z321="SERVICE / STOCKOUT REVIEW","P1 - SERVICE",IF(Z321="OVERSTOCK REVIEW","P2 - OVERSTOCK",IF(Z321="REPLENISHMENT REVIEW","P2 - REPLENISH","P3 - MONITOR"))))</f>
        <v/>
      </c>
      <c r="AC321" s="10" t="n">
        <v>7343.25255526658</v>
      </c>
      <c r="AD321" s="10" t="n">
        <v>6976.089927503251</v>
      </c>
      <c r="AE321" s="10">
        <f>IF(OR(AD321="",H321=""),"",H321*AD321)</f>
        <v/>
      </c>
    </row>
    <row r="322">
      <c r="A322" s="13" t="inlineStr">
        <is>
          <t>2022-12-31</t>
        </is>
      </c>
      <c r="B322" s="13" t="n">
        <v>908</v>
      </c>
      <c r="C322" s="14" t="inlineStr">
        <is>
          <t>HanoiStreet UE-17</t>
        </is>
      </c>
      <c r="D322" s="14" t="inlineStr">
        <is>
          <t>Streetwear</t>
        </is>
      </c>
      <c r="E322" s="13" t="inlineStr">
        <is>
          <t>Performance</t>
        </is>
      </c>
      <c r="F322" s="13" t="inlineStr">
        <is>
          <t>S</t>
        </is>
      </c>
      <c r="G322" s="13" t="inlineStr">
        <is>
          <t>pink</t>
        </is>
      </c>
      <c r="H322" s="15" t="n">
        <v>200</v>
      </c>
      <c r="I322" s="15" t="n">
        <v>22</v>
      </c>
      <c r="J322" s="16" t="n">
        <v>30.33333333333333</v>
      </c>
      <c r="K322" s="16">
        <f>IFERROR(J322/30,0)</f>
        <v/>
      </c>
      <c r="L322" s="15" t="n">
        <v>2</v>
      </c>
      <c r="M322" s="17" t="n">
        <v>0.9333</v>
      </c>
      <c r="N322" s="15" t="n">
        <v>1</v>
      </c>
      <c r="O322" s="15" t="n">
        <v>1</v>
      </c>
      <c r="P322" s="15" t="n">
        <v>0</v>
      </c>
      <c r="Q322" s="12" t="n">
        <v>0</v>
      </c>
      <c r="R322" s="12" t="n">
        <v>0</v>
      </c>
      <c r="S322" s="15">
        <f>H322+Q322-R322</f>
        <v/>
      </c>
      <c r="T322" s="12" t="n">
        <v>14</v>
      </c>
      <c r="U322" s="12" t="n">
        <v>7</v>
      </c>
      <c r="V322" s="12" t="n">
        <v>7</v>
      </c>
      <c r="W322" s="16">
        <f>K322*(T322+U322)</f>
        <v/>
      </c>
      <c r="X322" s="16">
        <f>K322*(T322+U322+V322)</f>
        <v/>
      </c>
      <c r="Y322" s="16">
        <f>IF(K322&gt;0,H322/K322,99999)</f>
        <v/>
      </c>
      <c r="Z322" s="14">
        <f>IF(AND(OR(L322&gt;=1,M322&lt;0.95),Y322&gt;120),"DATA CONFLICT - VERIFY",IF(OR(L322&gt;=1,M322&lt;0.95,Y322&lt;=14),"SERVICE / STOCKOUT REVIEW",IF(Y322&gt;120,"OVERSTOCK REVIEW",IF(S322&lt;=W322,"REPLENISHMENT REVIEW","NORMAL MONITORING"))))</f>
        <v/>
      </c>
      <c r="AA322" s="15">
        <f>IF(OR(Z322="DATA CONFLICT - VERIFY",Z322="SERVICE / STOCKOUT REVIEW"),0,IF(S322&lt;=W322,MAX(0,ROUNDUP(X322-S322,0)),0))</f>
        <v/>
      </c>
      <c r="AB322" s="14">
        <f>IF(Z322="DATA CONFLICT - VERIFY","P1 - DATA CONFLICT",IF(Z322="SERVICE / STOCKOUT REVIEW","P1 - SERVICE",IF(Z322="OVERSTOCK REVIEW","P2 - OVERSTOCK",IF(Z322="REPLENISHMENT REVIEW","P2 - REPLENISH","P3 - MONITOR"))))</f>
        <v/>
      </c>
      <c r="AC322" s="16" t="n">
        <v>2601.282045889101</v>
      </c>
      <c r="AD322" s="16" t="n">
        <v>2461.333071820267</v>
      </c>
      <c r="AE322" s="16">
        <f>IF(OR(AD322="",H322=""),"",H322*AD322)</f>
        <v/>
      </c>
    </row>
    <row r="323">
      <c r="A323" s="7" t="inlineStr">
        <is>
          <t>2022-12-31</t>
        </is>
      </c>
      <c r="B323" s="7" t="n">
        <v>909</v>
      </c>
      <c r="C323" s="8" t="inlineStr">
        <is>
          <t>HanoiStreet UE-18</t>
        </is>
      </c>
      <c r="D323" s="8" t="inlineStr">
        <is>
          <t>Streetwear</t>
        </is>
      </c>
      <c r="E323" s="7" t="inlineStr">
        <is>
          <t>Performance</t>
        </is>
      </c>
      <c r="F323" s="7" t="inlineStr">
        <is>
          <t>M</t>
        </is>
      </c>
      <c r="G323" s="7" t="inlineStr">
        <is>
          <t>yellow</t>
        </is>
      </c>
      <c r="H323" s="9" t="n">
        <v>25</v>
      </c>
      <c r="I323" s="9" t="n">
        <v>4</v>
      </c>
      <c r="J323" s="10" t="n">
        <v>3.666666666666667</v>
      </c>
      <c r="K323" s="10">
        <f>IFERROR(J323/30,0)</f>
        <v/>
      </c>
      <c r="L323" s="9" t="n">
        <v>1</v>
      </c>
      <c r="M323" s="11" t="n">
        <v>0.9667</v>
      </c>
      <c r="N323" s="9" t="n">
        <v>1</v>
      </c>
      <c r="O323" s="9" t="n">
        <v>1</v>
      </c>
      <c r="P323" s="9" t="n">
        <v>0</v>
      </c>
      <c r="Q323" s="12" t="n">
        <v>0</v>
      </c>
      <c r="R323" s="12" t="n">
        <v>0</v>
      </c>
      <c r="S323" s="9">
        <f>H323+Q323-R323</f>
        <v/>
      </c>
      <c r="T323" s="12" t="n">
        <v>14</v>
      </c>
      <c r="U323" s="12" t="n">
        <v>7</v>
      </c>
      <c r="V323" s="12" t="n">
        <v>7</v>
      </c>
      <c r="W323" s="10">
        <f>K323*(T323+U323)</f>
        <v/>
      </c>
      <c r="X323" s="10">
        <f>K323*(T323+U323+V323)</f>
        <v/>
      </c>
      <c r="Y323" s="10">
        <f>IF(K323&gt;0,H323/K323,99999)</f>
        <v/>
      </c>
      <c r="Z323" s="8">
        <f>IF(AND(OR(L323&gt;=1,M323&lt;0.95),Y323&gt;120),"DATA CONFLICT - VERIFY",IF(OR(L323&gt;=1,M323&lt;0.95,Y323&lt;=14),"SERVICE / STOCKOUT REVIEW",IF(Y323&gt;120,"OVERSTOCK REVIEW",IF(S323&lt;=W323,"REPLENISHMENT REVIEW","NORMAL MONITORING"))))</f>
        <v/>
      </c>
      <c r="AA323" s="9">
        <f>IF(OR(Z323="DATA CONFLICT - VERIFY",Z323="SERVICE / STOCKOUT REVIEW"),0,IF(S323&lt;=W323,MAX(0,ROUNDUP(X323-S323,0)),0))</f>
        <v/>
      </c>
      <c r="AB323" s="8">
        <f>IF(Z323="DATA CONFLICT - VERIFY","P1 - DATA CONFLICT",IF(Z323="SERVICE / STOCKOUT REVIEW","P1 - SERVICE",IF(Z323="OVERSTOCK REVIEW","P2 - OVERSTOCK",IF(Z323="REPLENISHMENT REVIEW","P2 - REPLENISH","P3 - MONITOR"))))</f>
        <v/>
      </c>
      <c r="AC323" s="10" t="n">
        <v>2910.238085106382</v>
      </c>
      <c r="AD323" s="10" t="n">
        <v>1759.82097006383</v>
      </c>
      <c r="AE323" s="10">
        <f>IF(OR(AD323="",H323=""),"",H323*AD323)</f>
        <v/>
      </c>
    </row>
    <row r="324">
      <c r="A324" s="13" t="inlineStr">
        <is>
          <t>2022-12-31</t>
        </is>
      </c>
      <c r="B324" s="13" t="n">
        <v>927</v>
      </c>
      <c r="C324" s="14" t="inlineStr">
        <is>
          <t>HanoiStreet UE-36</t>
        </is>
      </c>
      <c r="D324" s="14" t="inlineStr">
        <is>
          <t>Streetwear</t>
        </is>
      </c>
      <c r="E324" s="13" t="inlineStr">
        <is>
          <t>Performance</t>
        </is>
      </c>
      <c r="F324" s="13" t="inlineStr">
        <is>
          <t>XL</t>
        </is>
      </c>
      <c r="G324" s="13" t="inlineStr">
        <is>
          <t>silver</t>
        </is>
      </c>
      <c r="H324" s="15" t="n">
        <v>1897</v>
      </c>
      <c r="I324" s="15" t="n">
        <v>3</v>
      </c>
      <c r="J324" s="16" t="n">
        <v>9</v>
      </c>
      <c r="K324" s="16">
        <f>IFERROR(J324/30,0)</f>
        <v/>
      </c>
      <c r="L324" s="15" t="n">
        <v>2</v>
      </c>
      <c r="M324" s="17" t="n">
        <v>0.9333</v>
      </c>
      <c r="N324" s="15" t="n">
        <v>1</v>
      </c>
      <c r="O324" s="15" t="n">
        <v>1</v>
      </c>
      <c r="P324" s="15" t="n">
        <v>0</v>
      </c>
      <c r="Q324" s="12" t="n">
        <v>0</v>
      </c>
      <c r="R324" s="12" t="n">
        <v>0</v>
      </c>
      <c r="S324" s="15">
        <f>H324+Q324-R324</f>
        <v/>
      </c>
      <c r="T324" s="12" t="n">
        <v>14</v>
      </c>
      <c r="U324" s="12" t="n">
        <v>7</v>
      </c>
      <c r="V324" s="12" t="n">
        <v>7</v>
      </c>
      <c r="W324" s="16">
        <f>K324*(T324+U324)</f>
        <v/>
      </c>
      <c r="X324" s="16">
        <f>K324*(T324+U324+V324)</f>
        <v/>
      </c>
      <c r="Y324" s="16">
        <f>IF(K324&gt;0,H324/K324,99999)</f>
        <v/>
      </c>
      <c r="Z324" s="14">
        <f>IF(AND(OR(L324&gt;=1,M324&lt;0.95),Y324&gt;120),"DATA CONFLICT - VERIFY",IF(OR(L324&gt;=1,M324&lt;0.95,Y324&lt;=14),"SERVICE / STOCKOUT REVIEW",IF(Y324&gt;120,"OVERSTOCK REVIEW",IF(S324&lt;=W324,"REPLENISHMENT REVIEW","NORMAL MONITORING"))))</f>
        <v/>
      </c>
      <c r="AA324" s="15">
        <f>IF(OR(Z324="DATA CONFLICT - VERIFY",Z324="SERVICE / STOCKOUT REVIEW"),0,IF(S324&lt;=W324,MAX(0,ROUNDUP(X324-S324,0)),0))</f>
        <v/>
      </c>
      <c r="AB324" s="14">
        <f>IF(Z324="DATA CONFLICT - VERIFY","P1 - DATA CONFLICT",IF(Z324="SERVICE / STOCKOUT REVIEW","P1 - SERVICE",IF(Z324="OVERSTOCK REVIEW","P2 - OVERSTOCK",IF(Z324="REPLENISHMENT REVIEW","P2 - REPLENISH","P3 - MONITOR"))))</f>
        <v/>
      </c>
      <c r="AC324" s="16" t="n">
        <v>5860.36417215682</v>
      </c>
      <c r="AD324" s="16" t="n">
        <v>5567.345963548979</v>
      </c>
      <c r="AE324" s="16">
        <f>IF(OR(AD324="",H324=""),"",H324*AD324)</f>
        <v/>
      </c>
    </row>
    <row r="325">
      <c r="A325" s="7" t="inlineStr">
        <is>
          <t>2022-12-31</t>
        </is>
      </c>
      <c r="B325" s="7" t="n">
        <v>939</v>
      </c>
      <c r="C325" s="8" t="inlineStr">
        <is>
          <t>HanoiStreet UC-02</t>
        </is>
      </c>
      <c r="D325" s="8" t="inlineStr">
        <is>
          <t>Streetwear</t>
        </is>
      </c>
      <c r="E325" s="7" t="inlineStr">
        <is>
          <t>Everyday</t>
        </is>
      </c>
      <c r="F325" s="7" t="inlineStr">
        <is>
          <t>XL</t>
        </is>
      </c>
      <c r="G325" s="7" t="inlineStr">
        <is>
          <t>yellow</t>
        </is>
      </c>
      <c r="H325" s="9" t="n">
        <v>454</v>
      </c>
      <c r="I325" s="9" t="n">
        <v>2</v>
      </c>
      <c r="J325" s="10" t="n">
        <v>3.333333333333333</v>
      </c>
      <c r="K325" s="10">
        <f>IFERROR(J325/30,0)</f>
        <v/>
      </c>
      <c r="L325" s="9" t="n">
        <v>2</v>
      </c>
      <c r="M325" s="11" t="n">
        <v>0.9333</v>
      </c>
      <c r="N325" s="9" t="n">
        <v>1</v>
      </c>
      <c r="O325" s="9" t="n">
        <v>1</v>
      </c>
      <c r="P325" s="9" t="n">
        <v>0</v>
      </c>
      <c r="Q325" s="12" t="n">
        <v>0</v>
      </c>
      <c r="R325" s="12" t="n">
        <v>0</v>
      </c>
      <c r="S325" s="9">
        <f>H325+Q325-R325</f>
        <v/>
      </c>
      <c r="T325" s="12" t="n">
        <v>14</v>
      </c>
      <c r="U325" s="12" t="n">
        <v>7</v>
      </c>
      <c r="V325" s="12" t="n">
        <v>7</v>
      </c>
      <c r="W325" s="10">
        <f>K325*(T325+U325)</f>
        <v/>
      </c>
      <c r="X325" s="10">
        <f>K325*(T325+U325+V325)</f>
        <v/>
      </c>
      <c r="Y325" s="10">
        <f>IF(K325&gt;0,H325/K325,99999)</f>
        <v/>
      </c>
      <c r="Z325" s="8">
        <f>IF(AND(OR(L325&gt;=1,M325&lt;0.95),Y325&gt;120),"DATA CONFLICT - VERIFY",IF(OR(L325&gt;=1,M325&lt;0.95,Y325&lt;=14),"SERVICE / STOCKOUT REVIEW",IF(Y325&gt;120,"OVERSTOCK REVIEW",IF(S325&lt;=W325,"REPLENISHMENT REVIEW","NORMAL MONITORING"))))</f>
        <v/>
      </c>
      <c r="AA325" s="9">
        <f>IF(OR(Z325="DATA CONFLICT - VERIFY",Z325="SERVICE / STOCKOUT REVIEW"),0,IF(S325&lt;=W325,MAX(0,ROUNDUP(X325-S325,0)),0))</f>
        <v/>
      </c>
      <c r="AB325" s="8">
        <f>IF(Z325="DATA CONFLICT - VERIFY","P1 - DATA CONFLICT",IF(Z325="SERVICE / STOCKOUT REVIEW","P1 - SERVICE",IF(Z325="OVERSTOCK REVIEW","P2 - OVERSTOCK",IF(Z325="REPLENISHMENT REVIEW","P2 - REPLENISH","P3 - MONITOR"))))</f>
        <v/>
      </c>
      <c r="AC325" s="10" t="n">
        <v>4494.106487018096</v>
      </c>
      <c r="AD325" s="10" t="n">
        <v>4269.401162667191</v>
      </c>
      <c r="AE325" s="10">
        <f>IF(OR(AD325="",H325=""),"",H325*AD325)</f>
        <v/>
      </c>
    </row>
    <row r="326">
      <c r="A326" s="13" t="inlineStr">
        <is>
          <t>2022-12-31</t>
        </is>
      </c>
      <c r="B326" s="13" t="n">
        <v>942</v>
      </c>
      <c r="C326" s="14" t="inlineStr">
        <is>
          <t>HanoiStreet UC-05</t>
        </is>
      </c>
      <c r="D326" s="14" t="inlineStr">
        <is>
          <t>Streetwear</t>
        </is>
      </c>
      <c r="E326" s="13" t="inlineStr">
        <is>
          <t>Everyday</t>
        </is>
      </c>
      <c r="F326" s="13" t="inlineStr">
        <is>
          <t>L</t>
        </is>
      </c>
      <c r="G326" s="13" t="inlineStr">
        <is>
          <t>orange</t>
        </is>
      </c>
      <c r="H326" s="15" t="n">
        <v>23</v>
      </c>
      <c r="I326" s="15" t="n">
        <v>1</v>
      </c>
      <c r="J326" s="16" t="n">
        <v>1.666666666666667</v>
      </c>
      <c r="K326" s="16">
        <f>IFERROR(J326/30,0)</f>
        <v/>
      </c>
      <c r="L326" s="15" t="n">
        <v>1</v>
      </c>
      <c r="M326" s="17" t="n">
        <v>0.9667</v>
      </c>
      <c r="N326" s="15" t="n">
        <v>1</v>
      </c>
      <c r="O326" s="15" t="n">
        <v>1</v>
      </c>
      <c r="P326" s="15" t="n">
        <v>0</v>
      </c>
      <c r="Q326" s="12" t="n">
        <v>0</v>
      </c>
      <c r="R326" s="12" t="n">
        <v>0</v>
      </c>
      <c r="S326" s="15">
        <f>H326+Q326-R326</f>
        <v/>
      </c>
      <c r="T326" s="12" t="n">
        <v>14</v>
      </c>
      <c r="U326" s="12" t="n">
        <v>7</v>
      </c>
      <c r="V326" s="12" t="n">
        <v>7</v>
      </c>
      <c r="W326" s="16">
        <f>K326*(T326+U326)</f>
        <v/>
      </c>
      <c r="X326" s="16">
        <f>K326*(T326+U326+V326)</f>
        <v/>
      </c>
      <c r="Y326" s="16">
        <f>IF(K326&gt;0,H326/K326,99999)</f>
        <v/>
      </c>
      <c r="Z326" s="14">
        <f>IF(AND(OR(L326&gt;=1,M326&lt;0.95),Y326&gt;120),"DATA CONFLICT - VERIFY",IF(OR(L326&gt;=1,M326&lt;0.95,Y326&lt;=14),"SERVICE / STOCKOUT REVIEW",IF(Y326&gt;120,"OVERSTOCK REVIEW",IF(S326&lt;=W326,"REPLENISHMENT REVIEW","NORMAL MONITORING"))))</f>
        <v/>
      </c>
      <c r="AA326" s="15">
        <f>IF(OR(Z326="DATA CONFLICT - VERIFY",Z326="SERVICE / STOCKOUT REVIEW"),0,IF(S326&lt;=W326,MAX(0,ROUNDUP(X326-S326,0)),0))</f>
        <v/>
      </c>
      <c r="AB326" s="14">
        <f>IF(Z326="DATA CONFLICT - VERIFY","P1 - DATA CONFLICT",IF(Z326="SERVICE / STOCKOUT REVIEW","P1 - SERVICE",IF(Z326="OVERSTOCK REVIEW","P2 - OVERSTOCK",IF(Z326="REPLENISHMENT REVIEW","P2 - REPLENISH","P3 - MONITOR"))))</f>
        <v/>
      </c>
      <c r="AC326" s="16" t="n">
        <v>7413.811748878924</v>
      </c>
      <c r="AD326" s="16" t="n">
        <v>6891.879401757848</v>
      </c>
      <c r="AE326" s="16">
        <f>IF(OR(AD326="",H326=""),"",H326*AD326)</f>
        <v/>
      </c>
    </row>
    <row r="327">
      <c r="A327" s="7" t="inlineStr">
        <is>
          <t>2022-12-31</t>
        </is>
      </c>
      <c r="B327" s="7" t="n">
        <v>945</v>
      </c>
      <c r="C327" s="8" t="inlineStr">
        <is>
          <t>HanoiStreet UC-08</t>
        </is>
      </c>
      <c r="D327" s="8" t="inlineStr">
        <is>
          <t>Streetwear</t>
        </is>
      </c>
      <c r="E327" s="7" t="inlineStr">
        <is>
          <t>Everyday</t>
        </is>
      </c>
      <c r="F327" s="7" t="inlineStr">
        <is>
          <t>M</t>
        </is>
      </c>
      <c r="G327" s="7" t="inlineStr">
        <is>
          <t>purple</t>
        </is>
      </c>
      <c r="H327" s="9" t="n">
        <v>181</v>
      </c>
      <c r="I327" s="9" t="n">
        <v>3</v>
      </c>
      <c r="J327" s="10" t="n">
        <v>7.333333333333333</v>
      </c>
      <c r="K327" s="10">
        <f>IFERROR(J327/30,0)</f>
        <v/>
      </c>
      <c r="L327" s="9" t="n">
        <v>1</v>
      </c>
      <c r="M327" s="11" t="n">
        <v>0.9667</v>
      </c>
      <c r="N327" s="9" t="n">
        <v>1</v>
      </c>
      <c r="O327" s="9" t="n">
        <v>1</v>
      </c>
      <c r="P327" s="9" t="n">
        <v>0</v>
      </c>
      <c r="Q327" s="12" t="n">
        <v>0</v>
      </c>
      <c r="R327" s="12" t="n">
        <v>0</v>
      </c>
      <c r="S327" s="9">
        <f>H327+Q327-R327</f>
        <v/>
      </c>
      <c r="T327" s="12" t="n">
        <v>14</v>
      </c>
      <c r="U327" s="12" t="n">
        <v>7</v>
      </c>
      <c r="V327" s="12" t="n">
        <v>7</v>
      </c>
      <c r="W327" s="10">
        <f>K327*(T327+U327)</f>
        <v/>
      </c>
      <c r="X327" s="10">
        <f>K327*(T327+U327+V327)</f>
        <v/>
      </c>
      <c r="Y327" s="10">
        <f>IF(K327&gt;0,H327/K327,99999)</f>
        <v/>
      </c>
      <c r="Z327" s="8">
        <f>IF(AND(OR(L327&gt;=1,M327&lt;0.95),Y327&gt;120),"DATA CONFLICT - VERIFY",IF(OR(L327&gt;=1,M327&lt;0.95,Y327&lt;=14),"SERVICE / STOCKOUT REVIEW",IF(Y327&gt;120,"OVERSTOCK REVIEW",IF(S327&lt;=W327,"REPLENISHMENT REVIEW","NORMAL MONITORING"))))</f>
        <v/>
      </c>
      <c r="AA327" s="9">
        <f>IF(OR(Z327="DATA CONFLICT - VERIFY",Z327="SERVICE / STOCKOUT REVIEW"),0,IF(S327&lt;=W327,MAX(0,ROUNDUP(X327-S327,0)),0))</f>
        <v/>
      </c>
      <c r="AB327" s="8">
        <f>IF(Z327="DATA CONFLICT - VERIFY","P1 - DATA CONFLICT",IF(Z327="SERVICE / STOCKOUT REVIEW","P1 - SERVICE",IF(Z327="OVERSTOCK REVIEW","P2 - OVERSTOCK",IF(Z327="REPLENISHMENT REVIEW","P2 - REPLENISH","P3 - MONITOR"))))</f>
        <v/>
      </c>
      <c r="AC327" s="10" t="n">
        <v>8241.386433389545</v>
      </c>
      <c r="AD327" s="10" t="n">
        <v>7829.317111720067</v>
      </c>
      <c r="AE327" s="10">
        <f>IF(OR(AD327="",H327=""),"",H327*AD327)</f>
        <v/>
      </c>
    </row>
    <row r="328">
      <c r="A328" s="13" t="inlineStr">
        <is>
          <t>2022-12-31</t>
        </is>
      </c>
      <c r="B328" s="13" t="n">
        <v>963</v>
      </c>
      <c r="C328" s="14" t="inlineStr">
        <is>
          <t>HanoiStreet UC-26</t>
        </is>
      </c>
      <c r="D328" s="14" t="inlineStr">
        <is>
          <t>Streetwear</t>
        </is>
      </c>
      <c r="E328" s="13" t="inlineStr">
        <is>
          <t>Everyday</t>
        </is>
      </c>
      <c r="F328" s="13" t="inlineStr">
        <is>
          <t>XL</t>
        </is>
      </c>
      <c r="G328" s="13" t="inlineStr">
        <is>
          <t>blue</t>
        </is>
      </c>
      <c r="H328" s="15" t="n">
        <v>86</v>
      </c>
      <c r="I328" s="15" t="n">
        <v>7</v>
      </c>
      <c r="J328" s="16" t="n">
        <v>6.666666666666667</v>
      </c>
      <c r="K328" s="16">
        <f>IFERROR(J328/30,0)</f>
        <v/>
      </c>
      <c r="L328" s="15" t="n">
        <v>2</v>
      </c>
      <c r="M328" s="17" t="n">
        <v>0.9333</v>
      </c>
      <c r="N328" s="15" t="n">
        <v>1</v>
      </c>
      <c r="O328" s="15" t="n">
        <v>1</v>
      </c>
      <c r="P328" s="15" t="n">
        <v>0</v>
      </c>
      <c r="Q328" s="12" t="n">
        <v>0</v>
      </c>
      <c r="R328" s="12" t="n">
        <v>0</v>
      </c>
      <c r="S328" s="15">
        <f>H328+Q328-R328</f>
        <v/>
      </c>
      <c r="T328" s="12" t="n">
        <v>14</v>
      </c>
      <c r="U328" s="12" t="n">
        <v>7</v>
      </c>
      <c r="V328" s="12" t="n">
        <v>7</v>
      </c>
      <c r="W328" s="16">
        <f>K328*(T328+U328)</f>
        <v/>
      </c>
      <c r="X328" s="16">
        <f>K328*(T328+U328+V328)</f>
        <v/>
      </c>
      <c r="Y328" s="16">
        <f>IF(K328&gt;0,H328/K328,99999)</f>
        <v/>
      </c>
      <c r="Z328" s="14">
        <f>IF(AND(OR(L328&gt;=1,M328&lt;0.95),Y328&gt;120),"DATA CONFLICT - VERIFY",IF(OR(L328&gt;=1,M328&lt;0.95,Y328&lt;=14),"SERVICE / STOCKOUT REVIEW",IF(Y328&gt;120,"OVERSTOCK REVIEW",IF(S328&lt;=W328,"REPLENISHMENT REVIEW","NORMAL MONITORING"))))</f>
        <v/>
      </c>
      <c r="AA328" s="15">
        <f>IF(OR(Z328="DATA CONFLICT - VERIFY",Z328="SERVICE / STOCKOUT REVIEW"),0,IF(S328&lt;=W328,MAX(0,ROUNDUP(X328-S328,0)),0))</f>
        <v/>
      </c>
      <c r="AB328" s="14">
        <f>IF(Z328="DATA CONFLICT - VERIFY","P1 - DATA CONFLICT",IF(Z328="SERVICE / STOCKOUT REVIEW","P1 - SERVICE",IF(Z328="OVERSTOCK REVIEW","P2 - OVERSTOCK",IF(Z328="REPLENISHMENT REVIEW","P2 - REPLENISH","P3 - MONITOR"))))</f>
        <v/>
      </c>
      <c r="AC328" s="16" t="n">
        <v>5122.755359042553</v>
      </c>
      <c r="AD328" s="16" t="n">
        <v>2717.10944243617</v>
      </c>
      <c r="AE328" s="16">
        <f>IF(OR(AD328="",H328=""),"",H328*AD328)</f>
        <v/>
      </c>
    </row>
    <row r="329">
      <c r="A329" s="7" t="inlineStr">
        <is>
          <t>2022-12-31</t>
        </is>
      </c>
      <c r="B329" s="7" t="n">
        <v>965</v>
      </c>
      <c r="C329" s="8" t="inlineStr">
        <is>
          <t>HanoiStreet UC-28</t>
        </is>
      </c>
      <c r="D329" s="8" t="inlineStr">
        <is>
          <t>Streetwear</t>
        </is>
      </c>
      <c r="E329" s="7" t="inlineStr">
        <is>
          <t>Everyday</t>
        </is>
      </c>
      <c r="F329" s="7" t="inlineStr">
        <is>
          <t>M</t>
        </is>
      </c>
      <c r="G329" s="7" t="inlineStr">
        <is>
          <t>purple</t>
        </is>
      </c>
      <c r="H329" s="9" t="n">
        <v>535</v>
      </c>
      <c r="I329" s="9" t="n">
        <v>1</v>
      </c>
      <c r="J329" s="10" t="n">
        <v>1</v>
      </c>
      <c r="K329" s="10">
        <f>IFERROR(J329/30,0)</f>
        <v/>
      </c>
      <c r="L329" s="9" t="n">
        <v>1</v>
      </c>
      <c r="M329" s="11" t="n">
        <v>0.9667</v>
      </c>
      <c r="N329" s="9" t="n">
        <v>1</v>
      </c>
      <c r="O329" s="9" t="n">
        <v>1</v>
      </c>
      <c r="P329" s="9" t="n">
        <v>0</v>
      </c>
      <c r="Q329" s="12" t="n">
        <v>0</v>
      </c>
      <c r="R329" s="12" t="n">
        <v>0</v>
      </c>
      <c r="S329" s="9">
        <f>H329+Q329-R329</f>
        <v/>
      </c>
      <c r="T329" s="12" t="n">
        <v>14</v>
      </c>
      <c r="U329" s="12" t="n">
        <v>7</v>
      </c>
      <c r="V329" s="12" t="n">
        <v>7</v>
      </c>
      <c r="W329" s="10">
        <f>K329*(T329+U329)</f>
        <v/>
      </c>
      <c r="X329" s="10">
        <f>K329*(T329+U329+V329)</f>
        <v/>
      </c>
      <c r="Y329" s="10">
        <f>IF(K329&gt;0,H329/K329,99999)</f>
        <v/>
      </c>
      <c r="Z329" s="8">
        <f>IF(AND(OR(L329&gt;=1,M329&lt;0.95),Y329&gt;120),"DATA CONFLICT - VERIFY",IF(OR(L329&gt;=1,M329&lt;0.95,Y329&lt;=14),"SERVICE / STOCKOUT REVIEW",IF(Y329&gt;120,"OVERSTOCK REVIEW",IF(S329&lt;=W329,"REPLENISHMENT REVIEW","NORMAL MONITORING"))))</f>
        <v/>
      </c>
      <c r="AA329" s="9">
        <f>IF(OR(Z329="DATA CONFLICT - VERIFY",Z329="SERVICE / STOCKOUT REVIEW"),0,IF(S329&lt;=W329,MAX(0,ROUNDUP(X329-S329,0)),0))</f>
        <v/>
      </c>
      <c r="AB329" s="8">
        <f>IF(Z329="DATA CONFLICT - VERIFY","P1 - DATA CONFLICT",IF(Z329="SERVICE / STOCKOUT REVIEW","P1 - SERVICE",IF(Z329="OVERSTOCK REVIEW","P2 - OVERSTOCK",IF(Z329="REPLENISHMENT REVIEW","P2 - REPLENISH","P3 - MONITOR"))))</f>
        <v/>
      </c>
      <c r="AC329" s="10" t="n">
        <v>6039.659921465968</v>
      </c>
      <c r="AD329" s="10" t="n">
        <v>3816.461104374345</v>
      </c>
      <c r="AE329" s="10">
        <f>IF(OR(AD329="",H329=""),"",H329*AD329)</f>
        <v/>
      </c>
    </row>
    <row r="330">
      <c r="A330" s="13" t="inlineStr">
        <is>
          <t>2022-12-31</t>
        </is>
      </c>
      <c r="B330" s="13" t="n">
        <v>973</v>
      </c>
      <c r="C330" s="14" t="inlineStr">
        <is>
          <t>HanoiStreet UC-36</t>
        </is>
      </c>
      <c r="D330" s="14" t="inlineStr">
        <is>
          <t>Streetwear</t>
        </is>
      </c>
      <c r="E330" s="13" t="inlineStr">
        <is>
          <t>Everyday</t>
        </is>
      </c>
      <c r="F330" s="13" t="inlineStr">
        <is>
          <t>M</t>
        </is>
      </c>
      <c r="G330" s="13" t="inlineStr">
        <is>
          <t>blue</t>
        </is>
      </c>
      <c r="H330" s="15" t="n">
        <v>38</v>
      </c>
      <c r="I330" s="15" t="n">
        <v>1</v>
      </c>
      <c r="J330" s="16" t="n">
        <v>5.666666666666667</v>
      </c>
      <c r="K330" s="16">
        <f>IFERROR(J330/30,0)</f>
        <v/>
      </c>
      <c r="L330" s="15" t="n">
        <v>0</v>
      </c>
      <c r="M330" s="17" t="n">
        <v>1</v>
      </c>
      <c r="N330" s="15" t="n">
        <v>0</v>
      </c>
      <c r="O330" s="15" t="n">
        <v>1</v>
      </c>
      <c r="P330" s="15" t="n">
        <v>0</v>
      </c>
      <c r="Q330" s="12" t="n">
        <v>0</v>
      </c>
      <c r="R330" s="12" t="n">
        <v>0</v>
      </c>
      <c r="S330" s="15">
        <f>H330+Q330-R330</f>
        <v/>
      </c>
      <c r="T330" s="12" t="n">
        <v>14</v>
      </c>
      <c r="U330" s="12" t="n">
        <v>7</v>
      </c>
      <c r="V330" s="12" t="n">
        <v>7</v>
      </c>
      <c r="W330" s="16">
        <f>K330*(T330+U330)</f>
        <v/>
      </c>
      <c r="X330" s="16">
        <f>K330*(T330+U330+V330)</f>
        <v/>
      </c>
      <c r="Y330" s="16">
        <f>IF(K330&gt;0,H330/K330,99999)</f>
        <v/>
      </c>
      <c r="Z330" s="14">
        <f>IF(AND(OR(L330&gt;=1,M330&lt;0.95),Y330&gt;120),"DATA CONFLICT - VERIFY",IF(OR(L330&gt;=1,M330&lt;0.95,Y330&lt;=14),"SERVICE / STOCKOUT REVIEW",IF(Y330&gt;120,"OVERSTOCK REVIEW",IF(S330&lt;=W330,"REPLENISHMENT REVIEW","NORMAL MONITORING"))))</f>
        <v/>
      </c>
      <c r="AA330" s="15">
        <f>IF(OR(Z330="DATA CONFLICT - VERIFY",Z330="SERVICE / STOCKOUT REVIEW"),0,IF(S330&lt;=W330,MAX(0,ROUNDUP(X330-S330,0)),0))</f>
        <v/>
      </c>
      <c r="AB330" s="14">
        <f>IF(Z330="DATA CONFLICT - VERIFY","P1 - DATA CONFLICT",IF(Z330="SERVICE / STOCKOUT REVIEW","P1 - SERVICE",IF(Z330="OVERSTOCK REVIEW","P2 - OVERSTOCK",IF(Z330="REPLENISHMENT REVIEW","P2 - REPLENISH","P3 - MONITOR"))))</f>
        <v/>
      </c>
      <c r="AC330" s="16" t="n">
        <v>7486.731672597865</v>
      </c>
      <c r="AD330" s="16" t="n">
        <v>4697.92412455516</v>
      </c>
      <c r="AE330" s="16">
        <f>IF(OR(AD330="",H330=""),"",H330*AD330)</f>
        <v/>
      </c>
    </row>
    <row r="331">
      <c r="A331" s="7" t="inlineStr">
        <is>
          <t>2022-12-31</t>
        </is>
      </c>
      <c r="B331" s="7" t="n">
        <v>974</v>
      </c>
      <c r="C331" s="8" t="inlineStr">
        <is>
          <t>HanoiStreet UC-37</t>
        </is>
      </c>
      <c r="D331" s="8" t="inlineStr">
        <is>
          <t>Streetwear</t>
        </is>
      </c>
      <c r="E331" s="7" t="inlineStr">
        <is>
          <t>Everyday</t>
        </is>
      </c>
      <c r="F331" s="7" t="inlineStr">
        <is>
          <t>L</t>
        </is>
      </c>
      <c r="G331" s="7" t="inlineStr">
        <is>
          <t>white</t>
        </is>
      </c>
      <c r="H331" s="9" t="n">
        <v>39</v>
      </c>
      <c r="I331" s="9" t="n">
        <v>4</v>
      </c>
      <c r="J331" s="10" t="n">
        <v>3.666666666666667</v>
      </c>
      <c r="K331" s="10">
        <f>IFERROR(J331/30,0)</f>
        <v/>
      </c>
      <c r="L331" s="9" t="n">
        <v>2</v>
      </c>
      <c r="M331" s="11" t="n">
        <v>0.9333</v>
      </c>
      <c r="N331" s="9" t="n">
        <v>1</v>
      </c>
      <c r="O331" s="9" t="n">
        <v>1</v>
      </c>
      <c r="P331" s="9" t="n">
        <v>0</v>
      </c>
      <c r="Q331" s="12" t="n">
        <v>0</v>
      </c>
      <c r="R331" s="12" t="n">
        <v>0</v>
      </c>
      <c r="S331" s="9">
        <f>H331+Q331-R331</f>
        <v/>
      </c>
      <c r="T331" s="12" t="n">
        <v>14</v>
      </c>
      <c r="U331" s="12" t="n">
        <v>7</v>
      </c>
      <c r="V331" s="12" t="n">
        <v>7</v>
      </c>
      <c r="W331" s="10">
        <f>K331*(T331+U331)</f>
        <v/>
      </c>
      <c r="X331" s="10">
        <f>K331*(T331+U331+V331)</f>
        <v/>
      </c>
      <c r="Y331" s="10">
        <f>IF(K331&gt;0,H331/K331,99999)</f>
        <v/>
      </c>
      <c r="Z331" s="8">
        <f>IF(AND(OR(L331&gt;=1,M331&lt;0.95),Y331&gt;120),"DATA CONFLICT - VERIFY",IF(OR(L331&gt;=1,M331&lt;0.95,Y331&lt;=14),"SERVICE / STOCKOUT REVIEW",IF(Y331&gt;120,"OVERSTOCK REVIEW",IF(S331&lt;=W331,"REPLENISHMENT REVIEW","NORMAL MONITORING"))))</f>
        <v/>
      </c>
      <c r="AA331" s="9">
        <f>IF(OR(Z331="DATA CONFLICT - VERIFY",Z331="SERVICE / STOCKOUT REVIEW"),0,IF(S331&lt;=W331,MAX(0,ROUNDUP(X331-S331,0)),0))</f>
        <v/>
      </c>
      <c r="AB331" s="8">
        <f>IF(Z331="DATA CONFLICT - VERIFY","P1 - DATA CONFLICT",IF(Z331="SERVICE / STOCKOUT REVIEW","P1 - SERVICE",IF(Z331="OVERSTOCK REVIEW","P2 - OVERSTOCK",IF(Z331="REPLENISHMENT REVIEW","P2 - REPLENISH","P3 - MONITOR"))))</f>
        <v/>
      </c>
      <c r="AC331" s="10" t="n">
        <v>8151.269169550173</v>
      </c>
      <c r="AD331" s="10" t="n">
        <v>6372.662236754326</v>
      </c>
      <c r="AE331" s="10">
        <f>IF(OR(AD331="",H331=""),"",H331*AD331)</f>
        <v/>
      </c>
    </row>
    <row r="332">
      <c r="A332" s="13" t="inlineStr">
        <is>
          <t>2022-12-31</t>
        </is>
      </c>
      <c r="B332" s="13" t="n">
        <v>976</v>
      </c>
      <c r="C332" s="14" t="inlineStr">
        <is>
          <t>HanoiStreet UC-39</t>
        </is>
      </c>
      <c r="D332" s="14" t="inlineStr">
        <is>
          <t>Streetwear</t>
        </is>
      </c>
      <c r="E332" s="13" t="inlineStr">
        <is>
          <t>Everyday</t>
        </is>
      </c>
      <c r="F332" s="13" t="inlineStr">
        <is>
          <t>S</t>
        </is>
      </c>
      <c r="G332" s="13" t="inlineStr">
        <is>
          <t>green</t>
        </is>
      </c>
      <c r="H332" s="15" t="n">
        <v>1276</v>
      </c>
      <c r="I332" s="15" t="n">
        <v>1</v>
      </c>
      <c r="J332" s="16" t="n">
        <v>1</v>
      </c>
      <c r="K332" s="16">
        <f>IFERROR(J332/30,0)</f>
        <v/>
      </c>
      <c r="L332" s="15" t="n">
        <v>1</v>
      </c>
      <c r="M332" s="17" t="n">
        <v>0.9667</v>
      </c>
      <c r="N332" s="15" t="n">
        <v>1</v>
      </c>
      <c r="O332" s="15" t="n">
        <v>1</v>
      </c>
      <c r="P332" s="15" t="n">
        <v>0</v>
      </c>
      <c r="Q332" s="12" t="n">
        <v>0</v>
      </c>
      <c r="R332" s="12" t="n">
        <v>0</v>
      </c>
      <c r="S332" s="15">
        <f>H332+Q332-R332</f>
        <v/>
      </c>
      <c r="T332" s="12" t="n">
        <v>14</v>
      </c>
      <c r="U332" s="12" t="n">
        <v>7</v>
      </c>
      <c r="V332" s="12" t="n">
        <v>7</v>
      </c>
      <c r="W332" s="16">
        <f>K332*(T332+U332)</f>
        <v/>
      </c>
      <c r="X332" s="16">
        <f>K332*(T332+U332+V332)</f>
        <v/>
      </c>
      <c r="Y332" s="16">
        <f>IF(K332&gt;0,H332/K332,99999)</f>
        <v/>
      </c>
      <c r="Z332" s="14">
        <f>IF(AND(OR(L332&gt;=1,M332&lt;0.95),Y332&gt;120),"DATA CONFLICT - VERIFY",IF(OR(L332&gt;=1,M332&lt;0.95,Y332&lt;=14),"SERVICE / STOCKOUT REVIEW",IF(Y332&gt;120,"OVERSTOCK REVIEW",IF(S332&lt;=W332,"REPLENISHMENT REVIEW","NORMAL MONITORING"))))</f>
        <v/>
      </c>
      <c r="AA332" s="15">
        <f>IF(OR(Z332="DATA CONFLICT - VERIFY",Z332="SERVICE / STOCKOUT REVIEW"),0,IF(S332&lt;=W332,MAX(0,ROUNDUP(X332-S332,0)),0))</f>
        <v/>
      </c>
      <c r="AB332" s="14">
        <f>IF(Z332="DATA CONFLICT - VERIFY","P1 - DATA CONFLICT",IF(Z332="SERVICE / STOCKOUT REVIEW","P1 - SERVICE",IF(Z332="OVERSTOCK REVIEW","P2 - OVERSTOCK",IF(Z332="REPLENISHMENT REVIEW","P2 - REPLENISH","P3 - MONITOR"))))</f>
        <v/>
      </c>
      <c r="AC332" s="16" t="n">
        <v>3962.158343558282</v>
      </c>
      <c r="AD332" s="16" t="n">
        <v>3764.050426380368</v>
      </c>
      <c r="AE332" s="16">
        <f>IF(OR(AD332="",H332=""),"",H332*AD332)</f>
        <v/>
      </c>
    </row>
    <row r="333">
      <c r="A333" s="7" t="inlineStr">
        <is>
          <t>2022-12-31</t>
        </is>
      </c>
      <c r="B333" s="7" t="n">
        <v>981</v>
      </c>
      <c r="C333" s="8" t="inlineStr">
        <is>
          <t>HanoiStreet UC-44</t>
        </is>
      </c>
      <c r="D333" s="8" t="inlineStr">
        <is>
          <t>Streetwear</t>
        </is>
      </c>
      <c r="E333" s="7" t="inlineStr">
        <is>
          <t>Everyday</t>
        </is>
      </c>
      <c r="F333" s="7" t="inlineStr">
        <is>
          <t>M</t>
        </is>
      </c>
      <c r="G333" s="7" t="inlineStr">
        <is>
          <t>black</t>
        </is>
      </c>
      <c r="H333" s="9" t="n">
        <v>1110</v>
      </c>
      <c r="I333" s="9" t="n">
        <v>9</v>
      </c>
      <c r="J333" s="10" t="n">
        <v>8.333333333333334</v>
      </c>
      <c r="K333" s="10">
        <f>IFERROR(J333/30,0)</f>
        <v/>
      </c>
      <c r="L333" s="9" t="n">
        <v>1</v>
      </c>
      <c r="M333" s="11" t="n">
        <v>0.9667</v>
      </c>
      <c r="N333" s="9" t="n">
        <v>1</v>
      </c>
      <c r="O333" s="9" t="n">
        <v>1</v>
      </c>
      <c r="P333" s="9" t="n">
        <v>0</v>
      </c>
      <c r="Q333" s="12" t="n">
        <v>0</v>
      </c>
      <c r="R333" s="12" t="n">
        <v>0</v>
      </c>
      <c r="S333" s="9">
        <f>H333+Q333-R333</f>
        <v/>
      </c>
      <c r="T333" s="12" t="n">
        <v>14</v>
      </c>
      <c r="U333" s="12" t="n">
        <v>7</v>
      </c>
      <c r="V333" s="12" t="n">
        <v>7</v>
      </c>
      <c r="W333" s="10">
        <f>K333*(T333+U333)</f>
        <v/>
      </c>
      <c r="X333" s="10">
        <f>K333*(T333+U333+V333)</f>
        <v/>
      </c>
      <c r="Y333" s="10">
        <f>IF(K333&gt;0,H333/K333,99999)</f>
        <v/>
      </c>
      <c r="Z333" s="8">
        <f>IF(AND(OR(L333&gt;=1,M333&lt;0.95),Y333&gt;120),"DATA CONFLICT - VERIFY",IF(OR(L333&gt;=1,M333&lt;0.95,Y333&lt;=14),"SERVICE / STOCKOUT REVIEW",IF(Y333&gt;120,"OVERSTOCK REVIEW",IF(S333&lt;=W333,"REPLENISHMENT REVIEW","NORMAL MONITORING"))))</f>
        <v/>
      </c>
      <c r="AA333" s="9">
        <f>IF(OR(Z333="DATA CONFLICT - VERIFY",Z333="SERVICE / STOCKOUT REVIEW"),0,IF(S333&lt;=W333,MAX(0,ROUNDUP(X333-S333,0)),0))</f>
        <v/>
      </c>
      <c r="AB333" s="8">
        <f>IF(Z333="DATA CONFLICT - VERIFY","P1 - DATA CONFLICT",IF(Z333="SERVICE / STOCKOUT REVIEW","P1 - SERVICE",IF(Z333="OVERSTOCK REVIEW","P2 - OVERSTOCK",IF(Z333="REPLENISHMENT REVIEW","P2 - REPLENISH","P3 - MONITOR"))))</f>
        <v/>
      </c>
      <c r="AC333" s="10" t="n">
        <v>2032.929931253305</v>
      </c>
      <c r="AD333" s="10" t="n">
        <v>1931.28343469064</v>
      </c>
      <c r="AE333" s="10">
        <f>IF(OR(AD333="",H333=""),"",H333*AD333)</f>
        <v/>
      </c>
    </row>
    <row r="334">
      <c r="A334" s="13" t="inlineStr">
        <is>
          <t>2022-12-31</t>
        </is>
      </c>
      <c r="B334" s="13" t="n">
        <v>993</v>
      </c>
      <c r="C334" s="14" t="inlineStr">
        <is>
          <t>HanoiStreet UC-56</t>
        </is>
      </c>
      <c r="D334" s="14" t="inlineStr">
        <is>
          <t>Streetwear</t>
        </is>
      </c>
      <c r="E334" s="13" t="inlineStr">
        <is>
          <t>Everyday</t>
        </is>
      </c>
      <c r="F334" s="13" t="inlineStr">
        <is>
          <t>M</t>
        </is>
      </c>
      <c r="G334" s="13" t="inlineStr">
        <is>
          <t>blue</t>
        </is>
      </c>
      <c r="H334" s="15" t="n">
        <v>1394</v>
      </c>
      <c r="I334" s="15" t="n">
        <v>5</v>
      </c>
      <c r="J334" s="16" t="n">
        <v>3.666666666666667</v>
      </c>
      <c r="K334" s="16">
        <f>IFERROR(J334/30,0)</f>
        <v/>
      </c>
      <c r="L334" s="15" t="n">
        <v>0</v>
      </c>
      <c r="M334" s="17" t="n">
        <v>1</v>
      </c>
      <c r="N334" s="15" t="n">
        <v>0</v>
      </c>
      <c r="O334" s="15" t="n">
        <v>1</v>
      </c>
      <c r="P334" s="15" t="n">
        <v>0</v>
      </c>
      <c r="Q334" s="12" t="n">
        <v>0</v>
      </c>
      <c r="R334" s="12" t="n">
        <v>0</v>
      </c>
      <c r="S334" s="15">
        <f>H334+Q334-R334</f>
        <v/>
      </c>
      <c r="T334" s="12" t="n">
        <v>14</v>
      </c>
      <c r="U334" s="12" t="n">
        <v>7</v>
      </c>
      <c r="V334" s="12" t="n">
        <v>7</v>
      </c>
      <c r="W334" s="16">
        <f>K334*(T334+U334)</f>
        <v/>
      </c>
      <c r="X334" s="16">
        <f>K334*(T334+U334+V334)</f>
        <v/>
      </c>
      <c r="Y334" s="16">
        <f>IF(K334&gt;0,H334/K334,99999)</f>
        <v/>
      </c>
      <c r="Z334" s="14">
        <f>IF(AND(OR(L334&gt;=1,M334&lt;0.95),Y334&gt;120),"DATA CONFLICT - VERIFY",IF(OR(L334&gt;=1,M334&lt;0.95,Y334&lt;=14),"SERVICE / STOCKOUT REVIEW",IF(Y334&gt;120,"OVERSTOCK REVIEW",IF(S334&lt;=W334,"REPLENISHMENT REVIEW","NORMAL MONITORING"))))</f>
        <v/>
      </c>
      <c r="AA334" s="15">
        <f>IF(OR(Z334="DATA CONFLICT - VERIFY",Z334="SERVICE / STOCKOUT REVIEW"),0,IF(S334&lt;=W334,MAX(0,ROUNDUP(X334-S334,0)),0))</f>
        <v/>
      </c>
      <c r="AB334" s="14">
        <f>IF(Z334="DATA CONFLICT - VERIFY","P1 - DATA CONFLICT",IF(Z334="SERVICE / STOCKOUT REVIEW","P1 - SERVICE",IF(Z334="OVERSTOCK REVIEW","P2 - OVERSTOCK",IF(Z334="REPLENISHMENT REVIEW","P2 - REPLENISH","P3 - MONITOR"))))</f>
        <v/>
      </c>
      <c r="AC334" s="16" t="n">
        <v>4262.353834196891</v>
      </c>
      <c r="AD334" s="16" t="n">
        <v>3732.117017222798</v>
      </c>
      <c r="AE334" s="16">
        <f>IF(OR(AD334="",H334=""),"",H334*AD334)</f>
        <v/>
      </c>
    </row>
    <row r="335">
      <c r="A335" s="7" t="inlineStr">
        <is>
          <t>2022-12-31</t>
        </is>
      </c>
      <c r="B335" s="7" t="n">
        <v>1125</v>
      </c>
      <c r="C335" s="8" t="inlineStr">
        <is>
          <t>MekongFit UM-02</t>
        </is>
      </c>
      <c r="D335" s="8" t="inlineStr">
        <is>
          <t>Streetwear</t>
        </is>
      </c>
      <c r="E335" s="7" t="inlineStr">
        <is>
          <t>Balanced</t>
        </is>
      </c>
      <c r="F335" s="7" t="inlineStr">
        <is>
          <t>M</t>
        </is>
      </c>
      <c r="G335" s="7" t="inlineStr">
        <is>
          <t>purple</t>
        </is>
      </c>
      <c r="H335" s="9" t="n">
        <v>16</v>
      </c>
      <c r="I335" s="9" t="n">
        <v>3</v>
      </c>
      <c r="J335" s="10" t="n">
        <v>2</v>
      </c>
      <c r="K335" s="10">
        <f>IFERROR(J335/30,0)</f>
        <v/>
      </c>
      <c r="L335" s="9" t="n">
        <v>1</v>
      </c>
      <c r="M335" s="11" t="n">
        <v>0.9667</v>
      </c>
      <c r="N335" s="9" t="n">
        <v>1</v>
      </c>
      <c r="O335" s="9" t="n">
        <v>1</v>
      </c>
      <c r="P335" s="9" t="n">
        <v>0</v>
      </c>
      <c r="Q335" s="12" t="n">
        <v>0</v>
      </c>
      <c r="R335" s="12" t="n">
        <v>0</v>
      </c>
      <c r="S335" s="9">
        <f>H335+Q335-R335</f>
        <v/>
      </c>
      <c r="T335" s="12" t="n">
        <v>14</v>
      </c>
      <c r="U335" s="12" t="n">
        <v>7</v>
      </c>
      <c r="V335" s="12" t="n">
        <v>7</v>
      </c>
      <c r="W335" s="10">
        <f>K335*(T335+U335)</f>
        <v/>
      </c>
      <c r="X335" s="10">
        <f>K335*(T335+U335+V335)</f>
        <v/>
      </c>
      <c r="Y335" s="10">
        <f>IF(K335&gt;0,H335/K335,99999)</f>
        <v/>
      </c>
      <c r="Z335" s="8">
        <f>IF(AND(OR(L335&gt;=1,M335&lt;0.95),Y335&gt;120),"DATA CONFLICT - VERIFY",IF(OR(L335&gt;=1,M335&lt;0.95,Y335&lt;=14),"SERVICE / STOCKOUT REVIEW",IF(Y335&gt;120,"OVERSTOCK REVIEW",IF(S335&lt;=W335,"REPLENISHMENT REVIEW","NORMAL MONITORING"))))</f>
        <v/>
      </c>
      <c r="AA335" s="9">
        <f>IF(OR(Z335="DATA CONFLICT - VERIFY",Z335="SERVICE / STOCKOUT REVIEW"),0,IF(S335&lt;=W335,MAX(0,ROUNDUP(X335-S335,0)),0))</f>
        <v/>
      </c>
      <c r="AB335" s="8">
        <f>IF(Z335="DATA CONFLICT - VERIFY","P1 - DATA CONFLICT",IF(Z335="SERVICE / STOCKOUT REVIEW","P1 - SERVICE",IF(Z335="OVERSTOCK REVIEW","P2 - OVERSTOCK",IF(Z335="REPLENISHMENT REVIEW","P2 - REPLENISH","P3 - MONITOR"))))</f>
        <v/>
      </c>
      <c r="AC335" s="10" t="n">
        <v>11760.3675</v>
      </c>
      <c r="AD335" s="10" t="n">
        <v>9002.561321249999</v>
      </c>
      <c r="AE335" s="10">
        <f>IF(OR(AD335="",H335=""),"",H335*AD335)</f>
        <v/>
      </c>
    </row>
    <row r="336">
      <c r="A336" s="13" t="inlineStr">
        <is>
          <t>2022-12-31</t>
        </is>
      </c>
      <c r="B336" s="13" t="n">
        <v>1129</v>
      </c>
      <c r="C336" s="14" t="inlineStr">
        <is>
          <t>MekongFit UM-06</t>
        </is>
      </c>
      <c r="D336" s="14" t="inlineStr">
        <is>
          <t>Streetwear</t>
        </is>
      </c>
      <c r="E336" s="13" t="inlineStr">
        <is>
          <t>Balanced</t>
        </is>
      </c>
      <c r="F336" s="13" t="inlineStr">
        <is>
          <t>M</t>
        </is>
      </c>
      <c r="G336" s="13" t="inlineStr">
        <is>
          <t>yellow</t>
        </is>
      </c>
      <c r="H336" s="15" t="n">
        <v>431</v>
      </c>
      <c r="I336" s="15" t="n">
        <v>1</v>
      </c>
      <c r="J336" s="16" t="n">
        <v>4.333333333333333</v>
      </c>
      <c r="K336" s="16">
        <f>IFERROR(J336/30,0)</f>
        <v/>
      </c>
      <c r="L336" s="15" t="n">
        <v>2</v>
      </c>
      <c r="M336" s="17" t="n">
        <v>0.9333</v>
      </c>
      <c r="N336" s="15" t="n">
        <v>1</v>
      </c>
      <c r="O336" s="15" t="n">
        <v>1</v>
      </c>
      <c r="P336" s="15" t="n">
        <v>0</v>
      </c>
      <c r="Q336" s="12" t="n">
        <v>0</v>
      </c>
      <c r="R336" s="12" t="n">
        <v>0</v>
      </c>
      <c r="S336" s="15">
        <f>H336+Q336-R336</f>
        <v/>
      </c>
      <c r="T336" s="12" t="n">
        <v>14</v>
      </c>
      <c r="U336" s="12" t="n">
        <v>7</v>
      </c>
      <c r="V336" s="12" t="n">
        <v>7</v>
      </c>
      <c r="W336" s="16">
        <f>K336*(T336+U336)</f>
        <v/>
      </c>
      <c r="X336" s="16">
        <f>K336*(T336+U336+V336)</f>
        <v/>
      </c>
      <c r="Y336" s="16">
        <f>IF(K336&gt;0,H336/K336,99999)</f>
        <v/>
      </c>
      <c r="Z336" s="14">
        <f>IF(AND(OR(L336&gt;=1,M336&lt;0.95),Y336&gt;120),"DATA CONFLICT - VERIFY",IF(OR(L336&gt;=1,M336&lt;0.95,Y336&lt;=14),"SERVICE / STOCKOUT REVIEW",IF(Y336&gt;120,"OVERSTOCK REVIEW",IF(S336&lt;=W336,"REPLENISHMENT REVIEW","NORMAL MONITORING"))))</f>
        <v/>
      </c>
      <c r="AA336" s="15">
        <f>IF(OR(Z336="DATA CONFLICT - VERIFY",Z336="SERVICE / STOCKOUT REVIEW"),0,IF(S336&lt;=W336,MAX(0,ROUNDUP(X336-S336,0)),0))</f>
        <v/>
      </c>
      <c r="AB336" s="14">
        <f>IF(Z336="DATA CONFLICT - VERIFY","P1 - DATA CONFLICT",IF(Z336="SERVICE / STOCKOUT REVIEW","P1 - SERVICE",IF(Z336="OVERSTOCK REVIEW","P2 - OVERSTOCK",IF(Z336="REPLENISHMENT REVIEW","P2 - REPLENISH","P3 - MONITOR"))))</f>
        <v/>
      </c>
      <c r="AC336" s="16" t="n">
        <v>5529.824602774275</v>
      </c>
      <c r="AD336" s="16" t="n">
        <v>3583.32634259773</v>
      </c>
      <c r="AE336" s="16">
        <f>IF(OR(AD336="",H336=""),"",H336*AD336)</f>
        <v/>
      </c>
    </row>
    <row r="337">
      <c r="A337" s="7" t="inlineStr">
        <is>
          <t>2022-12-31</t>
        </is>
      </c>
      <c r="B337" s="7" t="n">
        <v>1134</v>
      </c>
      <c r="C337" s="8" t="inlineStr">
        <is>
          <t>MekongFit UM-11</t>
        </is>
      </c>
      <c r="D337" s="8" t="inlineStr">
        <is>
          <t>Streetwear</t>
        </is>
      </c>
      <c r="E337" s="7" t="inlineStr">
        <is>
          <t>Balanced</t>
        </is>
      </c>
      <c r="F337" s="7" t="inlineStr">
        <is>
          <t>L</t>
        </is>
      </c>
      <c r="G337" s="7" t="inlineStr">
        <is>
          <t>white</t>
        </is>
      </c>
      <c r="H337" s="9" t="n">
        <v>42</v>
      </c>
      <c r="I337" s="9" t="n">
        <v>1</v>
      </c>
      <c r="J337" s="10" t="n">
        <v>3.666666666666667</v>
      </c>
      <c r="K337" s="10">
        <f>IFERROR(J337/30,0)</f>
        <v/>
      </c>
      <c r="L337" s="9" t="n">
        <v>0</v>
      </c>
      <c r="M337" s="11" t="n">
        <v>1</v>
      </c>
      <c r="N337" s="9" t="n">
        <v>0</v>
      </c>
      <c r="O337" s="9" t="n">
        <v>1</v>
      </c>
      <c r="P337" s="9" t="n">
        <v>0</v>
      </c>
      <c r="Q337" s="12" t="n">
        <v>0</v>
      </c>
      <c r="R337" s="12" t="n">
        <v>0</v>
      </c>
      <c r="S337" s="9">
        <f>H337+Q337-R337</f>
        <v/>
      </c>
      <c r="T337" s="12" t="n">
        <v>14</v>
      </c>
      <c r="U337" s="12" t="n">
        <v>7</v>
      </c>
      <c r="V337" s="12" t="n">
        <v>7</v>
      </c>
      <c r="W337" s="10">
        <f>K337*(T337+U337)</f>
        <v/>
      </c>
      <c r="X337" s="10">
        <f>K337*(T337+U337+V337)</f>
        <v/>
      </c>
      <c r="Y337" s="10">
        <f>IF(K337&gt;0,H337/K337,99999)</f>
        <v/>
      </c>
      <c r="Z337" s="8">
        <f>IF(AND(OR(L337&gt;=1,M337&lt;0.95),Y337&gt;120),"DATA CONFLICT - VERIFY",IF(OR(L337&gt;=1,M337&lt;0.95,Y337&lt;=14),"SERVICE / STOCKOUT REVIEW",IF(Y337&gt;120,"OVERSTOCK REVIEW",IF(S337&lt;=W337,"REPLENISHMENT REVIEW","NORMAL MONITORING"))))</f>
        <v/>
      </c>
      <c r="AA337" s="9">
        <f>IF(OR(Z337="DATA CONFLICT - VERIFY",Z337="SERVICE / STOCKOUT REVIEW"),0,IF(S337&lt;=W337,MAX(0,ROUNDUP(X337-S337,0)),0))</f>
        <v/>
      </c>
      <c r="AB337" s="8">
        <f>IF(Z337="DATA CONFLICT - VERIFY","P1 - DATA CONFLICT",IF(Z337="SERVICE / STOCKOUT REVIEW","P1 - SERVICE",IF(Z337="OVERSTOCK REVIEW","P2 - OVERSTOCK",IF(Z337="REPLENISHMENT REVIEW","P2 - REPLENISH","P3 - MONITOR"))))</f>
        <v/>
      </c>
      <c r="AC337" s="10" t="n">
        <v>11011.57028818444</v>
      </c>
      <c r="AD337" s="10" t="n">
        <v>8816.96432974928</v>
      </c>
      <c r="AE337" s="10">
        <f>IF(OR(AD337="",H337=""),"",H337*AD337)</f>
        <v/>
      </c>
    </row>
    <row r="338">
      <c r="A338" s="13" t="inlineStr">
        <is>
          <t>2022-12-31</t>
        </is>
      </c>
      <c r="B338" s="13" t="n">
        <v>1137</v>
      </c>
      <c r="C338" s="14" t="inlineStr">
        <is>
          <t>MekongFit UM-14</t>
        </is>
      </c>
      <c r="D338" s="14" t="inlineStr">
        <is>
          <t>Streetwear</t>
        </is>
      </c>
      <c r="E338" s="13" t="inlineStr">
        <is>
          <t>Balanced</t>
        </is>
      </c>
      <c r="F338" s="13" t="inlineStr">
        <is>
          <t>M</t>
        </is>
      </c>
      <c r="G338" s="13" t="inlineStr">
        <is>
          <t>silver</t>
        </is>
      </c>
      <c r="H338" s="15" t="n">
        <v>125</v>
      </c>
      <c r="I338" s="15" t="n">
        <v>9</v>
      </c>
      <c r="J338" s="16" t="n">
        <v>8.666666666666666</v>
      </c>
      <c r="K338" s="16">
        <f>IFERROR(J338/30,0)</f>
        <v/>
      </c>
      <c r="L338" s="15" t="n">
        <v>0</v>
      </c>
      <c r="M338" s="17" t="n">
        <v>1</v>
      </c>
      <c r="N338" s="15" t="n">
        <v>0</v>
      </c>
      <c r="O338" s="15" t="n">
        <v>1</v>
      </c>
      <c r="P338" s="15" t="n">
        <v>0</v>
      </c>
      <c r="Q338" s="12" t="n">
        <v>0</v>
      </c>
      <c r="R338" s="12" t="n">
        <v>0</v>
      </c>
      <c r="S338" s="15">
        <f>H338+Q338-R338</f>
        <v/>
      </c>
      <c r="T338" s="12" t="n">
        <v>14</v>
      </c>
      <c r="U338" s="12" t="n">
        <v>7</v>
      </c>
      <c r="V338" s="12" t="n">
        <v>7</v>
      </c>
      <c r="W338" s="16">
        <f>K338*(T338+U338)</f>
        <v/>
      </c>
      <c r="X338" s="16">
        <f>K338*(T338+U338+V338)</f>
        <v/>
      </c>
      <c r="Y338" s="16">
        <f>IF(K338&gt;0,H338/K338,99999)</f>
        <v/>
      </c>
      <c r="Z338" s="14">
        <f>IF(AND(OR(L338&gt;=1,M338&lt;0.95),Y338&gt;120),"DATA CONFLICT - VERIFY",IF(OR(L338&gt;=1,M338&lt;0.95,Y338&lt;=14),"SERVICE / STOCKOUT REVIEW",IF(Y338&gt;120,"OVERSTOCK REVIEW",IF(S338&lt;=W338,"REPLENISHMENT REVIEW","NORMAL MONITORING"))))</f>
        <v/>
      </c>
      <c r="AA338" s="15">
        <f>IF(OR(Z338="DATA CONFLICT - VERIFY",Z338="SERVICE / STOCKOUT REVIEW"),0,IF(S338&lt;=W338,MAX(0,ROUNDUP(X338-S338,0)),0))</f>
        <v/>
      </c>
      <c r="AB338" s="14">
        <f>IF(Z338="DATA CONFLICT - VERIFY","P1 - DATA CONFLICT",IF(Z338="SERVICE / STOCKOUT REVIEW","P1 - SERVICE",IF(Z338="OVERSTOCK REVIEW","P2 - OVERSTOCK",IF(Z338="REPLENISHMENT REVIEW","P2 - REPLENISH","P3 - MONITOR"))))</f>
        <v/>
      </c>
      <c r="AC338" s="16" t="n">
        <v>9511.97335781742</v>
      </c>
      <c r="AD338" s="16" t="n">
        <v>5349.533816436517</v>
      </c>
      <c r="AE338" s="16">
        <f>IF(OR(AD338="",H338=""),"",H338*AD338)</f>
        <v/>
      </c>
    </row>
    <row r="339">
      <c r="A339" s="7" t="inlineStr">
        <is>
          <t>2022-12-31</t>
        </is>
      </c>
      <c r="B339" s="7" t="n">
        <v>1140</v>
      </c>
      <c r="C339" s="8" t="inlineStr">
        <is>
          <t>MekongFit UM-17</t>
        </is>
      </c>
      <c r="D339" s="8" t="inlineStr">
        <is>
          <t>Streetwear</t>
        </is>
      </c>
      <c r="E339" s="7" t="inlineStr">
        <is>
          <t>Balanced</t>
        </is>
      </c>
      <c r="F339" s="7" t="inlineStr">
        <is>
          <t>S</t>
        </is>
      </c>
      <c r="G339" s="7" t="inlineStr">
        <is>
          <t>red</t>
        </is>
      </c>
      <c r="H339" s="9" t="n">
        <v>64</v>
      </c>
      <c r="I339" s="9" t="n">
        <v>1</v>
      </c>
      <c r="J339" s="10" t="n">
        <v>2</v>
      </c>
      <c r="K339" s="10">
        <f>IFERROR(J339/30,0)</f>
        <v/>
      </c>
      <c r="L339" s="9" t="n">
        <v>0</v>
      </c>
      <c r="M339" s="11" t="n">
        <v>1</v>
      </c>
      <c r="N339" s="9" t="n">
        <v>0</v>
      </c>
      <c r="O339" s="9" t="n">
        <v>1</v>
      </c>
      <c r="P339" s="9" t="n">
        <v>0</v>
      </c>
      <c r="Q339" s="12" t="n">
        <v>0</v>
      </c>
      <c r="R339" s="12" t="n">
        <v>0</v>
      </c>
      <c r="S339" s="9">
        <f>H339+Q339-R339</f>
        <v/>
      </c>
      <c r="T339" s="12" t="n">
        <v>14</v>
      </c>
      <c r="U339" s="12" t="n">
        <v>7</v>
      </c>
      <c r="V339" s="12" t="n">
        <v>7</v>
      </c>
      <c r="W339" s="10">
        <f>K339*(T339+U339)</f>
        <v/>
      </c>
      <c r="X339" s="10">
        <f>K339*(T339+U339+V339)</f>
        <v/>
      </c>
      <c r="Y339" s="10">
        <f>IF(K339&gt;0,H339/K339,99999)</f>
        <v/>
      </c>
      <c r="Z339" s="8">
        <f>IF(AND(OR(L339&gt;=1,M339&lt;0.95),Y339&gt;120),"DATA CONFLICT - VERIFY",IF(OR(L339&gt;=1,M339&lt;0.95,Y339&lt;=14),"SERVICE / STOCKOUT REVIEW",IF(Y339&gt;120,"OVERSTOCK REVIEW",IF(S339&lt;=W339,"REPLENISHMENT REVIEW","NORMAL MONITORING"))))</f>
        <v/>
      </c>
      <c r="AA339" s="9">
        <f>IF(OR(Z339="DATA CONFLICT - VERIFY",Z339="SERVICE / STOCKOUT REVIEW"),0,IF(S339&lt;=W339,MAX(0,ROUNDUP(X339-S339,0)),0))</f>
        <v/>
      </c>
      <c r="AB339" s="8">
        <f>IF(Z339="DATA CONFLICT - VERIFY","P1 - DATA CONFLICT",IF(Z339="SERVICE / STOCKOUT REVIEW","P1 - SERVICE",IF(Z339="OVERSTOCK REVIEW","P2 - OVERSTOCK",IF(Z339="REPLENISHMENT REVIEW","P2 - REPLENISH","P3 - MONITOR"))))</f>
        <v/>
      </c>
      <c r="AC339" s="10" t="n">
        <v>9570.261891891892</v>
      </c>
      <c r="AD339" s="10" t="n">
        <v>5120.090112162163</v>
      </c>
      <c r="AE339" s="10">
        <f>IF(OR(AD339="",H339=""),"",H339*AD339)</f>
        <v/>
      </c>
    </row>
    <row r="340">
      <c r="A340" s="13" t="inlineStr">
        <is>
          <t>2022-12-31</t>
        </is>
      </c>
      <c r="B340" s="13" t="n">
        <v>1141</v>
      </c>
      <c r="C340" s="14" t="inlineStr">
        <is>
          <t>MekongFit UM-18</t>
        </is>
      </c>
      <c r="D340" s="14" t="inlineStr">
        <is>
          <t>Streetwear</t>
        </is>
      </c>
      <c r="E340" s="13" t="inlineStr">
        <is>
          <t>Balanced</t>
        </is>
      </c>
      <c r="F340" s="13" t="inlineStr">
        <is>
          <t>M</t>
        </is>
      </c>
      <c r="G340" s="13" t="inlineStr">
        <is>
          <t>black</t>
        </is>
      </c>
      <c r="H340" s="15" t="n">
        <v>36</v>
      </c>
      <c r="I340" s="15" t="n">
        <v>8</v>
      </c>
      <c r="J340" s="16" t="n">
        <v>6.333333333333333</v>
      </c>
      <c r="K340" s="16">
        <f>IFERROR(J340/30,0)</f>
        <v/>
      </c>
      <c r="L340" s="15" t="n">
        <v>0</v>
      </c>
      <c r="M340" s="17" t="n">
        <v>1</v>
      </c>
      <c r="N340" s="15" t="n">
        <v>0</v>
      </c>
      <c r="O340" s="15" t="n">
        <v>1</v>
      </c>
      <c r="P340" s="15" t="n">
        <v>0</v>
      </c>
      <c r="Q340" s="12" t="n">
        <v>0</v>
      </c>
      <c r="R340" s="12" t="n">
        <v>0</v>
      </c>
      <c r="S340" s="15">
        <f>H340+Q340-R340</f>
        <v/>
      </c>
      <c r="T340" s="12" t="n">
        <v>14</v>
      </c>
      <c r="U340" s="12" t="n">
        <v>7</v>
      </c>
      <c r="V340" s="12" t="n">
        <v>7</v>
      </c>
      <c r="W340" s="16">
        <f>K340*(T340+U340)</f>
        <v/>
      </c>
      <c r="X340" s="16">
        <f>K340*(T340+U340+V340)</f>
        <v/>
      </c>
      <c r="Y340" s="16">
        <f>IF(K340&gt;0,H340/K340,99999)</f>
        <v/>
      </c>
      <c r="Z340" s="14">
        <f>IF(AND(OR(L340&gt;=1,M340&lt;0.95),Y340&gt;120),"DATA CONFLICT - VERIFY",IF(OR(L340&gt;=1,M340&lt;0.95,Y340&lt;=14),"SERVICE / STOCKOUT REVIEW",IF(Y340&gt;120,"OVERSTOCK REVIEW",IF(S340&lt;=W340,"REPLENISHMENT REVIEW","NORMAL MONITORING"))))</f>
        <v/>
      </c>
      <c r="AA340" s="15">
        <f>IF(OR(Z340="DATA CONFLICT - VERIFY",Z340="SERVICE / STOCKOUT REVIEW"),0,IF(S340&lt;=W340,MAX(0,ROUNDUP(X340-S340,0)),0))</f>
        <v/>
      </c>
      <c r="AB340" s="14">
        <f>IF(Z340="DATA CONFLICT - VERIFY","P1 - DATA CONFLICT",IF(Z340="SERVICE / STOCKOUT REVIEW","P1 - SERVICE",IF(Z340="OVERSTOCK REVIEW","P2 - OVERSTOCK",IF(Z340="REPLENISHMENT REVIEW","P2 - REPLENISH","P3 - MONITOR"))))</f>
        <v/>
      </c>
      <c r="AC340" s="16" t="n">
        <v>10507.84826086956</v>
      </c>
      <c r="AD340" s="16" t="n">
        <v>9982.455847826086</v>
      </c>
      <c r="AE340" s="16">
        <f>IF(OR(AD340="",H340=""),"",H340*AD340)</f>
        <v/>
      </c>
    </row>
    <row r="341">
      <c r="A341" s="7" t="inlineStr">
        <is>
          <t>2022-12-31</t>
        </is>
      </c>
      <c r="B341" s="7" t="n">
        <v>1145</v>
      </c>
      <c r="C341" s="8" t="inlineStr">
        <is>
          <t>MekongFit UR-02</t>
        </is>
      </c>
      <c r="D341" s="8" t="inlineStr">
        <is>
          <t>Streetwear</t>
        </is>
      </c>
      <c r="E341" s="7" t="inlineStr">
        <is>
          <t>Standard</t>
        </is>
      </c>
      <c r="F341" s="7" t="inlineStr">
        <is>
          <t>M</t>
        </is>
      </c>
      <c r="G341" s="7" t="inlineStr">
        <is>
          <t>purple</t>
        </is>
      </c>
      <c r="H341" s="9" t="n">
        <v>51</v>
      </c>
      <c r="I341" s="9" t="n">
        <v>1</v>
      </c>
      <c r="J341" s="10" t="n">
        <v>1</v>
      </c>
      <c r="K341" s="10">
        <f>IFERROR(J341/30,0)</f>
        <v/>
      </c>
      <c r="L341" s="9" t="n">
        <v>0</v>
      </c>
      <c r="M341" s="11" t="n">
        <v>1</v>
      </c>
      <c r="N341" s="9" t="n">
        <v>0</v>
      </c>
      <c r="O341" s="9" t="n">
        <v>1</v>
      </c>
      <c r="P341" s="9" t="n">
        <v>0</v>
      </c>
      <c r="Q341" s="12" t="n">
        <v>0</v>
      </c>
      <c r="R341" s="12" t="n">
        <v>0</v>
      </c>
      <c r="S341" s="9">
        <f>H341+Q341-R341</f>
        <v/>
      </c>
      <c r="T341" s="12" t="n">
        <v>14</v>
      </c>
      <c r="U341" s="12" t="n">
        <v>7</v>
      </c>
      <c r="V341" s="12" t="n">
        <v>7</v>
      </c>
      <c r="W341" s="10">
        <f>K341*(T341+U341)</f>
        <v/>
      </c>
      <c r="X341" s="10">
        <f>K341*(T341+U341+V341)</f>
        <v/>
      </c>
      <c r="Y341" s="10">
        <f>IF(K341&gt;0,H341/K341,99999)</f>
        <v/>
      </c>
      <c r="Z341" s="8">
        <f>IF(AND(OR(L341&gt;=1,M341&lt;0.95),Y341&gt;120),"DATA CONFLICT - VERIFY",IF(OR(L341&gt;=1,M341&lt;0.95,Y341&lt;=14),"SERVICE / STOCKOUT REVIEW",IF(Y341&gt;120,"OVERSTOCK REVIEW",IF(S341&lt;=W341,"REPLENISHMENT REVIEW","NORMAL MONITORING"))))</f>
        <v/>
      </c>
      <c r="AA341" s="9">
        <f>IF(OR(Z341="DATA CONFLICT - VERIFY",Z341="SERVICE / STOCKOUT REVIEW"),0,IF(S341&lt;=W341,MAX(0,ROUNDUP(X341-S341,0)),0))</f>
        <v/>
      </c>
      <c r="AB341" s="8">
        <f>IF(Z341="DATA CONFLICT - VERIFY","P1 - DATA CONFLICT",IF(Z341="SERVICE / STOCKOUT REVIEW","P1 - SERVICE",IF(Z341="OVERSTOCK REVIEW","P2 - OVERSTOCK",IF(Z341="REPLENISHMENT REVIEW","P2 - REPLENISH","P3 - MONITOR"))))</f>
        <v/>
      </c>
      <c r="AC341" s="10" t="n">
        <v>4040.82</v>
      </c>
      <c r="AD341" s="10" t="n">
        <v>3302.966268</v>
      </c>
      <c r="AE341" s="10">
        <f>IF(OR(AD341="",H341=""),"",H341*AD341)</f>
        <v/>
      </c>
    </row>
    <row r="342">
      <c r="A342" s="13" t="inlineStr">
        <is>
          <t>2022-12-31</t>
        </is>
      </c>
      <c r="B342" s="13" t="n">
        <v>1171</v>
      </c>
      <c r="C342" s="14" t="inlineStr">
        <is>
          <t>MekongFit UE-07</t>
        </is>
      </c>
      <c r="D342" s="14" t="inlineStr">
        <is>
          <t>Streetwear</t>
        </is>
      </c>
      <c r="E342" s="13" t="inlineStr">
        <is>
          <t>Performance</t>
        </is>
      </c>
      <c r="F342" s="13" t="inlineStr">
        <is>
          <t>XL</t>
        </is>
      </c>
      <c r="G342" s="13" t="inlineStr">
        <is>
          <t>black</t>
        </is>
      </c>
      <c r="H342" s="15" t="n">
        <v>543</v>
      </c>
      <c r="I342" s="15" t="n">
        <v>10</v>
      </c>
      <c r="J342" s="16" t="n">
        <v>14</v>
      </c>
      <c r="K342" s="16">
        <f>IFERROR(J342/30,0)</f>
        <v/>
      </c>
      <c r="L342" s="15" t="n">
        <v>2</v>
      </c>
      <c r="M342" s="17" t="n">
        <v>0.9333</v>
      </c>
      <c r="N342" s="15" t="n">
        <v>1</v>
      </c>
      <c r="O342" s="15" t="n">
        <v>1</v>
      </c>
      <c r="P342" s="15" t="n">
        <v>0</v>
      </c>
      <c r="Q342" s="12" t="n">
        <v>0</v>
      </c>
      <c r="R342" s="12" t="n">
        <v>0</v>
      </c>
      <c r="S342" s="15">
        <f>H342+Q342-R342</f>
        <v/>
      </c>
      <c r="T342" s="12" t="n">
        <v>14</v>
      </c>
      <c r="U342" s="12" t="n">
        <v>7</v>
      </c>
      <c r="V342" s="12" t="n">
        <v>7</v>
      </c>
      <c r="W342" s="16">
        <f>K342*(T342+U342)</f>
        <v/>
      </c>
      <c r="X342" s="16">
        <f>K342*(T342+U342+V342)</f>
        <v/>
      </c>
      <c r="Y342" s="16">
        <f>IF(K342&gt;0,H342/K342,99999)</f>
        <v/>
      </c>
      <c r="Z342" s="14">
        <f>IF(AND(OR(L342&gt;=1,M342&lt;0.95),Y342&gt;120),"DATA CONFLICT - VERIFY",IF(OR(L342&gt;=1,M342&lt;0.95,Y342&lt;=14),"SERVICE / STOCKOUT REVIEW",IF(Y342&gt;120,"OVERSTOCK REVIEW",IF(S342&lt;=W342,"REPLENISHMENT REVIEW","NORMAL MONITORING"))))</f>
        <v/>
      </c>
      <c r="AA342" s="15">
        <f>IF(OR(Z342="DATA CONFLICT - VERIFY",Z342="SERVICE / STOCKOUT REVIEW"),0,IF(S342&lt;=W342,MAX(0,ROUNDUP(X342-S342,0)),0))</f>
        <v/>
      </c>
      <c r="AB342" s="14">
        <f>IF(Z342="DATA CONFLICT - VERIFY","P1 - DATA CONFLICT",IF(Z342="SERVICE / STOCKOUT REVIEW","P1 - SERVICE",IF(Z342="OVERSTOCK REVIEW","P2 - OVERSTOCK",IF(Z342="REPLENISHMENT REVIEW","P2 - REPLENISH","P3 - MONITOR"))))</f>
        <v/>
      </c>
      <c r="AC342" s="16" t="n">
        <v>4297.006363636363</v>
      </c>
      <c r="AD342" s="16" t="n">
        <v>3953.675555181818</v>
      </c>
      <c r="AE342" s="16">
        <f>IF(OR(AD342="",H342=""),"",H342*AD342)</f>
        <v/>
      </c>
    </row>
    <row r="343">
      <c r="A343" s="7" t="inlineStr">
        <is>
          <t>2022-12-31</t>
        </is>
      </c>
      <c r="B343" s="7" t="n">
        <v>1175</v>
      </c>
      <c r="C343" s="8" t="inlineStr">
        <is>
          <t>MekongFit UE-11</t>
        </is>
      </c>
      <c r="D343" s="8" t="inlineStr">
        <is>
          <t>Streetwear</t>
        </is>
      </c>
      <c r="E343" s="7" t="inlineStr">
        <is>
          <t>Performance</t>
        </is>
      </c>
      <c r="F343" s="7" t="inlineStr">
        <is>
          <t>XL</t>
        </is>
      </c>
      <c r="G343" s="7" t="inlineStr">
        <is>
          <t>purple</t>
        </is>
      </c>
      <c r="H343" s="9" t="n">
        <v>365</v>
      </c>
      <c r="I343" s="9" t="n">
        <v>9</v>
      </c>
      <c r="J343" s="10" t="n">
        <v>13</v>
      </c>
      <c r="K343" s="10">
        <f>IFERROR(J343/30,0)</f>
        <v/>
      </c>
      <c r="L343" s="9" t="n">
        <v>1</v>
      </c>
      <c r="M343" s="11" t="n">
        <v>0.9667</v>
      </c>
      <c r="N343" s="9" t="n">
        <v>1</v>
      </c>
      <c r="O343" s="9" t="n">
        <v>1</v>
      </c>
      <c r="P343" s="9" t="n">
        <v>0</v>
      </c>
      <c r="Q343" s="12" t="n">
        <v>0</v>
      </c>
      <c r="R343" s="12" t="n">
        <v>0</v>
      </c>
      <c r="S343" s="9">
        <f>H343+Q343-R343</f>
        <v/>
      </c>
      <c r="T343" s="12" t="n">
        <v>14</v>
      </c>
      <c r="U343" s="12" t="n">
        <v>7</v>
      </c>
      <c r="V343" s="12" t="n">
        <v>7</v>
      </c>
      <c r="W343" s="10">
        <f>K343*(T343+U343)</f>
        <v/>
      </c>
      <c r="X343" s="10">
        <f>K343*(T343+U343+V343)</f>
        <v/>
      </c>
      <c r="Y343" s="10">
        <f>IF(K343&gt;0,H343/K343,99999)</f>
        <v/>
      </c>
      <c r="Z343" s="8">
        <f>IF(AND(OR(L343&gt;=1,M343&lt;0.95),Y343&gt;120),"DATA CONFLICT - VERIFY",IF(OR(L343&gt;=1,M343&lt;0.95,Y343&lt;=14),"SERVICE / STOCKOUT REVIEW",IF(Y343&gt;120,"OVERSTOCK REVIEW",IF(S343&lt;=W343,"REPLENISHMENT REVIEW","NORMAL MONITORING"))))</f>
        <v/>
      </c>
      <c r="AA343" s="9">
        <f>IF(OR(Z343="DATA CONFLICT - VERIFY",Z343="SERVICE / STOCKOUT REVIEW"),0,IF(S343&lt;=W343,MAX(0,ROUNDUP(X343-S343,0)),0))</f>
        <v/>
      </c>
      <c r="AB343" s="8">
        <f>IF(Z343="DATA CONFLICT - VERIFY","P1 - DATA CONFLICT",IF(Z343="SERVICE / STOCKOUT REVIEW","P1 - SERVICE",IF(Z343="OVERSTOCK REVIEW","P2 - OVERSTOCK",IF(Z343="REPLENISHMENT REVIEW","P2 - REPLENISH","P3 - MONITOR"))))</f>
        <v/>
      </c>
      <c r="AC343" s="10" t="n">
        <v>7960.852541018091</v>
      </c>
      <c r="AD343" s="10" t="n">
        <v>7562.809913967186</v>
      </c>
      <c r="AE343" s="10">
        <f>IF(OR(AD343="",H343=""),"",H343*AD343)</f>
        <v/>
      </c>
    </row>
    <row r="344">
      <c r="A344" s="13" t="inlineStr">
        <is>
          <t>2022-12-31</t>
        </is>
      </c>
      <c r="B344" s="13" t="n">
        <v>1176</v>
      </c>
      <c r="C344" s="14" t="inlineStr">
        <is>
          <t>MekongFit UE-12</t>
        </is>
      </c>
      <c r="D344" s="14" t="inlineStr">
        <is>
          <t>Streetwear</t>
        </is>
      </c>
      <c r="E344" s="13" t="inlineStr">
        <is>
          <t>Performance</t>
        </is>
      </c>
      <c r="F344" s="13" t="inlineStr">
        <is>
          <t>S</t>
        </is>
      </c>
      <c r="G344" s="13" t="inlineStr">
        <is>
          <t>green</t>
        </is>
      </c>
      <c r="H344" s="15" t="n">
        <v>4</v>
      </c>
      <c r="I344" s="15" t="n">
        <v>5</v>
      </c>
      <c r="J344" s="16" t="n">
        <v>3</v>
      </c>
      <c r="K344" s="16">
        <f>IFERROR(J344/30,0)</f>
        <v/>
      </c>
      <c r="L344" s="15" t="n">
        <v>2</v>
      </c>
      <c r="M344" s="17" t="n">
        <v>0.9333</v>
      </c>
      <c r="N344" s="15" t="n">
        <v>1</v>
      </c>
      <c r="O344" s="15" t="n">
        <v>0</v>
      </c>
      <c r="P344" s="15" t="n">
        <v>0</v>
      </c>
      <c r="Q344" s="12" t="n">
        <v>0</v>
      </c>
      <c r="R344" s="12" t="n">
        <v>0</v>
      </c>
      <c r="S344" s="15">
        <f>H344+Q344-R344</f>
        <v/>
      </c>
      <c r="T344" s="12" t="n">
        <v>14</v>
      </c>
      <c r="U344" s="12" t="n">
        <v>7</v>
      </c>
      <c r="V344" s="12" t="n">
        <v>7</v>
      </c>
      <c r="W344" s="16">
        <f>K344*(T344+U344)</f>
        <v/>
      </c>
      <c r="X344" s="16">
        <f>K344*(T344+U344+V344)</f>
        <v/>
      </c>
      <c r="Y344" s="16">
        <f>IF(K344&gt;0,H344/K344,99999)</f>
        <v/>
      </c>
      <c r="Z344" s="14">
        <f>IF(AND(OR(L344&gt;=1,M344&lt;0.95),Y344&gt;120),"DATA CONFLICT - VERIFY",IF(OR(L344&gt;=1,M344&lt;0.95,Y344&lt;=14),"SERVICE / STOCKOUT REVIEW",IF(Y344&gt;120,"OVERSTOCK REVIEW",IF(S344&lt;=W344,"REPLENISHMENT REVIEW","NORMAL MONITORING"))))</f>
        <v/>
      </c>
      <c r="AA344" s="15">
        <f>IF(OR(Z344="DATA CONFLICT - VERIFY",Z344="SERVICE / STOCKOUT REVIEW"),0,IF(S344&lt;=W344,MAX(0,ROUNDUP(X344-S344,0)),0))</f>
        <v/>
      </c>
      <c r="AB344" s="14">
        <f>IF(Z344="DATA CONFLICT - VERIFY","P1 - DATA CONFLICT",IF(Z344="SERVICE / STOCKOUT REVIEW","P1 - SERVICE",IF(Z344="OVERSTOCK REVIEW","P2 - OVERSTOCK",IF(Z344="REPLENISHMENT REVIEW","P2 - REPLENISH","P3 - MONITOR"))))</f>
        <v/>
      </c>
      <c r="AC344" s="16" t="n">
        <v>7474.808502673796</v>
      </c>
      <c r="AD344" s="16" t="n">
        <v>7035.289762716578</v>
      </c>
      <c r="AE344" s="16">
        <f>IF(OR(AD344="",H344=""),"",H344*AD344)</f>
        <v/>
      </c>
    </row>
    <row r="345">
      <c r="A345" s="7" t="inlineStr">
        <is>
          <t>2022-12-31</t>
        </is>
      </c>
      <c r="B345" s="7" t="n">
        <v>1177</v>
      </c>
      <c r="C345" s="8" t="inlineStr">
        <is>
          <t>MekongFit UE-13</t>
        </is>
      </c>
      <c r="D345" s="8" t="inlineStr">
        <is>
          <t>Streetwear</t>
        </is>
      </c>
      <c r="E345" s="7" t="inlineStr">
        <is>
          <t>Performance</t>
        </is>
      </c>
      <c r="F345" s="7" t="inlineStr">
        <is>
          <t>M</t>
        </is>
      </c>
      <c r="G345" s="7" t="inlineStr">
        <is>
          <t>silver</t>
        </is>
      </c>
      <c r="H345" s="9" t="n">
        <v>41</v>
      </c>
      <c r="I345" s="9" t="n">
        <v>67</v>
      </c>
      <c r="J345" s="10" t="n">
        <v>49.33333333333334</v>
      </c>
      <c r="K345" s="10">
        <f>IFERROR(J345/30,0)</f>
        <v/>
      </c>
      <c r="L345" s="9" t="n">
        <v>17</v>
      </c>
      <c r="M345" s="11" t="n">
        <v>0.4333</v>
      </c>
      <c r="N345" s="9" t="n">
        <v>1</v>
      </c>
      <c r="O345" s="9" t="n">
        <v>0</v>
      </c>
      <c r="P345" s="9" t="n">
        <v>0</v>
      </c>
      <c r="Q345" s="12" t="n">
        <v>0</v>
      </c>
      <c r="R345" s="12" t="n">
        <v>0</v>
      </c>
      <c r="S345" s="9">
        <f>H345+Q345-R345</f>
        <v/>
      </c>
      <c r="T345" s="12" t="n">
        <v>14</v>
      </c>
      <c r="U345" s="12" t="n">
        <v>7</v>
      </c>
      <c r="V345" s="12" t="n">
        <v>7</v>
      </c>
      <c r="W345" s="10">
        <f>K345*(T345+U345)</f>
        <v/>
      </c>
      <c r="X345" s="10">
        <f>K345*(T345+U345+V345)</f>
        <v/>
      </c>
      <c r="Y345" s="10">
        <f>IF(K345&gt;0,H345/K345,99999)</f>
        <v/>
      </c>
      <c r="Z345" s="8">
        <f>IF(AND(OR(L345&gt;=1,M345&lt;0.95),Y345&gt;120),"DATA CONFLICT - VERIFY",IF(OR(L345&gt;=1,M345&lt;0.95,Y345&lt;=14),"SERVICE / STOCKOUT REVIEW",IF(Y345&gt;120,"OVERSTOCK REVIEW",IF(S345&lt;=W345,"REPLENISHMENT REVIEW","NORMAL MONITORING"))))</f>
        <v/>
      </c>
      <c r="AA345" s="9">
        <f>IF(OR(Z345="DATA CONFLICT - VERIFY",Z345="SERVICE / STOCKOUT REVIEW"),0,IF(S345&lt;=W345,MAX(0,ROUNDUP(X345-S345,0)),0))</f>
        <v/>
      </c>
      <c r="AB345" s="8">
        <f>IF(Z345="DATA CONFLICT - VERIFY","P1 - DATA CONFLICT",IF(Z345="SERVICE / STOCKOUT REVIEW","P1 - SERVICE",IF(Z345="OVERSTOCK REVIEW","P2 - OVERSTOCK",IF(Z345="REPLENISHMENT REVIEW","P2 - REPLENISH","P3 - MONITOR"))))</f>
        <v/>
      </c>
      <c r="AC345" s="10" t="n">
        <v>3193.262400806994</v>
      </c>
      <c r="AD345" s="10" t="n">
        <v>3033.599280766644</v>
      </c>
      <c r="AE345" s="10">
        <f>IF(OR(AD345="",H345=""),"",H345*AD345)</f>
        <v/>
      </c>
    </row>
    <row r="346">
      <c r="A346" s="13" t="inlineStr">
        <is>
          <t>2022-12-31</t>
        </is>
      </c>
      <c r="B346" s="13" t="n">
        <v>1179</v>
      </c>
      <c r="C346" s="14" t="inlineStr">
        <is>
          <t>MekongFit UE-15</t>
        </is>
      </c>
      <c r="D346" s="14" t="inlineStr">
        <is>
          <t>Streetwear</t>
        </is>
      </c>
      <c r="E346" s="13" t="inlineStr">
        <is>
          <t>Performance</t>
        </is>
      </c>
      <c r="F346" s="13" t="inlineStr">
        <is>
          <t>XL</t>
        </is>
      </c>
      <c r="G346" s="13" t="inlineStr">
        <is>
          <t>yellow</t>
        </is>
      </c>
      <c r="H346" s="15" t="n">
        <v>47</v>
      </c>
      <c r="I346" s="15" t="n">
        <v>3</v>
      </c>
      <c r="J346" s="16" t="n">
        <v>4</v>
      </c>
      <c r="K346" s="16">
        <f>IFERROR(J346/30,0)</f>
        <v/>
      </c>
      <c r="L346" s="15" t="n">
        <v>1</v>
      </c>
      <c r="M346" s="17" t="n">
        <v>0.9667</v>
      </c>
      <c r="N346" s="15" t="n">
        <v>1</v>
      </c>
      <c r="O346" s="15" t="n">
        <v>1</v>
      </c>
      <c r="P346" s="15" t="n">
        <v>0</v>
      </c>
      <c r="Q346" s="12" t="n">
        <v>0</v>
      </c>
      <c r="R346" s="12" t="n">
        <v>0</v>
      </c>
      <c r="S346" s="15">
        <f>H346+Q346-R346</f>
        <v/>
      </c>
      <c r="T346" s="12" t="n">
        <v>14</v>
      </c>
      <c r="U346" s="12" t="n">
        <v>7</v>
      </c>
      <c r="V346" s="12" t="n">
        <v>7</v>
      </c>
      <c r="W346" s="16">
        <f>K346*(T346+U346)</f>
        <v/>
      </c>
      <c r="X346" s="16">
        <f>K346*(T346+U346+V346)</f>
        <v/>
      </c>
      <c r="Y346" s="16">
        <f>IF(K346&gt;0,H346/K346,99999)</f>
        <v/>
      </c>
      <c r="Z346" s="14">
        <f>IF(AND(OR(L346&gt;=1,M346&lt;0.95),Y346&gt;120),"DATA CONFLICT - VERIFY",IF(OR(L346&gt;=1,M346&lt;0.95,Y346&lt;=14),"SERVICE / STOCKOUT REVIEW",IF(Y346&gt;120,"OVERSTOCK REVIEW",IF(S346&lt;=W346,"REPLENISHMENT REVIEW","NORMAL MONITORING"))))</f>
        <v/>
      </c>
      <c r="AA346" s="15">
        <f>IF(OR(Z346="DATA CONFLICT - VERIFY",Z346="SERVICE / STOCKOUT REVIEW"),0,IF(S346&lt;=W346,MAX(0,ROUNDUP(X346-S346,0)),0))</f>
        <v/>
      </c>
      <c r="AB346" s="14">
        <f>IF(Z346="DATA CONFLICT - VERIFY","P1 - DATA CONFLICT",IF(Z346="SERVICE / STOCKOUT REVIEW","P1 - SERVICE",IF(Z346="OVERSTOCK REVIEW","P2 - OVERSTOCK",IF(Z346="REPLENISHMENT REVIEW","P2 - REPLENISH","P3 - MONITOR"))))</f>
        <v/>
      </c>
      <c r="AC346" s="16" t="n">
        <v>7152.328536585365</v>
      </c>
      <c r="AD346" s="16" t="n">
        <v>6404.194971658536</v>
      </c>
      <c r="AE346" s="16">
        <f>IF(OR(AD346="",H346=""),"",H346*AD346)</f>
        <v/>
      </c>
    </row>
    <row r="347">
      <c r="A347" s="7" t="inlineStr">
        <is>
          <t>2022-12-31</t>
        </is>
      </c>
      <c r="B347" s="7" t="n">
        <v>1180</v>
      </c>
      <c r="C347" s="8" t="inlineStr">
        <is>
          <t>MekongFit UE-16</t>
        </is>
      </c>
      <c r="D347" s="8" t="inlineStr">
        <is>
          <t>Streetwear</t>
        </is>
      </c>
      <c r="E347" s="7" t="inlineStr">
        <is>
          <t>Performance</t>
        </is>
      </c>
      <c r="F347" s="7" t="inlineStr">
        <is>
          <t>S</t>
        </is>
      </c>
      <c r="G347" s="7" t="inlineStr">
        <is>
          <t>red</t>
        </is>
      </c>
      <c r="H347" s="9" t="n">
        <v>213</v>
      </c>
      <c r="I347" s="9" t="n">
        <v>9</v>
      </c>
      <c r="J347" s="10" t="n">
        <v>12.33333333333333</v>
      </c>
      <c r="K347" s="10">
        <f>IFERROR(J347/30,0)</f>
        <v/>
      </c>
      <c r="L347" s="9" t="n">
        <v>2</v>
      </c>
      <c r="M347" s="11" t="n">
        <v>0.9333</v>
      </c>
      <c r="N347" s="9" t="n">
        <v>1</v>
      </c>
      <c r="O347" s="9" t="n">
        <v>1</v>
      </c>
      <c r="P347" s="9" t="n">
        <v>0</v>
      </c>
      <c r="Q347" s="12" t="n">
        <v>0</v>
      </c>
      <c r="R347" s="12" t="n">
        <v>0</v>
      </c>
      <c r="S347" s="9">
        <f>H347+Q347-R347</f>
        <v/>
      </c>
      <c r="T347" s="12" t="n">
        <v>14</v>
      </c>
      <c r="U347" s="12" t="n">
        <v>7</v>
      </c>
      <c r="V347" s="12" t="n">
        <v>7</v>
      </c>
      <c r="W347" s="10">
        <f>K347*(T347+U347)</f>
        <v/>
      </c>
      <c r="X347" s="10">
        <f>K347*(T347+U347+V347)</f>
        <v/>
      </c>
      <c r="Y347" s="10">
        <f>IF(K347&gt;0,H347/K347,99999)</f>
        <v/>
      </c>
      <c r="Z347" s="8">
        <f>IF(AND(OR(L347&gt;=1,M347&lt;0.95),Y347&gt;120),"DATA CONFLICT - VERIFY",IF(OR(L347&gt;=1,M347&lt;0.95,Y347&lt;=14),"SERVICE / STOCKOUT REVIEW",IF(Y347&gt;120,"OVERSTOCK REVIEW",IF(S347&lt;=W347,"REPLENISHMENT REVIEW","NORMAL MONITORING"))))</f>
        <v/>
      </c>
      <c r="AA347" s="9">
        <f>IF(OR(Z347="DATA CONFLICT - VERIFY",Z347="SERVICE / STOCKOUT REVIEW"),0,IF(S347&lt;=W347,MAX(0,ROUNDUP(X347-S347,0)),0))</f>
        <v/>
      </c>
      <c r="AB347" s="8">
        <f>IF(Z347="DATA CONFLICT - VERIFY","P1 - DATA CONFLICT",IF(Z347="SERVICE / STOCKOUT REVIEW","P1 - SERVICE",IF(Z347="OVERSTOCK REVIEW","P2 - OVERSTOCK",IF(Z347="REPLENISHMENT REVIEW","P2 - REPLENISH","P3 - MONITOR"))))</f>
        <v/>
      </c>
      <c r="AC347" s="10" t="n">
        <v>6400.83170678337</v>
      </c>
      <c r="AD347" s="10" t="n">
        <v>3691.359645301969</v>
      </c>
      <c r="AE347" s="10">
        <f>IF(OR(AD347="",H347=""),"",H347*AD347)</f>
        <v/>
      </c>
    </row>
    <row r="348">
      <c r="A348" s="13" t="inlineStr">
        <is>
          <t>2022-12-31</t>
        </is>
      </c>
      <c r="B348" s="13" t="n">
        <v>1182</v>
      </c>
      <c r="C348" s="14" t="inlineStr">
        <is>
          <t>MekongFit UE-18</t>
        </is>
      </c>
      <c r="D348" s="14" t="inlineStr">
        <is>
          <t>Streetwear</t>
        </is>
      </c>
      <c r="E348" s="13" t="inlineStr">
        <is>
          <t>Performance</t>
        </is>
      </c>
      <c r="F348" s="13" t="inlineStr">
        <is>
          <t>L</t>
        </is>
      </c>
      <c r="G348" s="13" t="inlineStr">
        <is>
          <t>orange</t>
        </is>
      </c>
      <c r="H348" s="15" t="n">
        <v>1913</v>
      </c>
      <c r="I348" s="15" t="n">
        <v>7</v>
      </c>
      <c r="J348" s="16" t="n">
        <v>15</v>
      </c>
      <c r="K348" s="16">
        <f>IFERROR(J348/30,0)</f>
        <v/>
      </c>
      <c r="L348" s="15" t="n">
        <v>1</v>
      </c>
      <c r="M348" s="17" t="n">
        <v>0.9667</v>
      </c>
      <c r="N348" s="15" t="n">
        <v>1</v>
      </c>
      <c r="O348" s="15" t="n">
        <v>1</v>
      </c>
      <c r="P348" s="15" t="n">
        <v>0</v>
      </c>
      <c r="Q348" s="12" t="n">
        <v>0</v>
      </c>
      <c r="R348" s="12" t="n">
        <v>0</v>
      </c>
      <c r="S348" s="15">
        <f>H348+Q348-R348</f>
        <v/>
      </c>
      <c r="T348" s="12" t="n">
        <v>14</v>
      </c>
      <c r="U348" s="12" t="n">
        <v>7</v>
      </c>
      <c r="V348" s="12" t="n">
        <v>7</v>
      </c>
      <c r="W348" s="16">
        <f>K348*(T348+U348)</f>
        <v/>
      </c>
      <c r="X348" s="16">
        <f>K348*(T348+U348+V348)</f>
        <v/>
      </c>
      <c r="Y348" s="16">
        <f>IF(K348&gt;0,H348/K348,99999)</f>
        <v/>
      </c>
      <c r="Z348" s="14">
        <f>IF(AND(OR(L348&gt;=1,M348&lt;0.95),Y348&gt;120),"DATA CONFLICT - VERIFY",IF(OR(L348&gt;=1,M348&lt;0.95,Y348&lt;=14),"SERVICE / STOCKOUT REVIEW",IF(Y348&gt;120,"OVERSTOCK REVIEW",IF(S348&lt;=W348,"REPLENISHMENT REVIEW","NORMAL MONITORING"))))</f>
        <v/>
      </c>
      <c r="AA348" s="15">
        <f>IF(OR(Z348="DATA CONFLICT - VERIFY",Z348="SERVICE / STOCKOUT REVIEW"),0,IF(S348&lt;=W348,MAX(0,ROUNDUP(X348-S348,0)),0))</f>
        <v/>
      </c>
      <c r="AB348" s="14">
        <f>IF(Z348="DATA CONFLICT - VERIFY","P1 - DATA CONFLICT",IF(Z348="SERVICE / STOCKOUT REVIEW","P1 - SERVICE",IF(Z348="OVERSTOCK REVIEW","P2 - OVERSTOCK",IF(Z348="REPLENISHMENT REVIEW","P2 - REPLENISH","P3 - MONITOR"))))</f>
        <v/>
      </c>
      <c r="AC348" s="16" t="n">
        <v>2220.567622820919</v>
      </c>
      <c r="AD348" s="16" t="n">
        <v>2109.539241679873</v>
      </c>
      <c r="AE348" s="16">
        <f>IF(OR(AD348="",H348=""),"",H348*AD348)</f>
        <v/>
      </c>
    </row>
    <row r="349">
      <c r="A349" s="7" t="inlineStr">
        <is>
          <t>2022-12-31</t>
        </is>
      </c>
      <c r="B349" s="7" t="n">
        <v>1183</v>
      </c>
      <c r="C349" s="8" t="inlineStr">
        <is>
          <t>MekongFit UE-19</t>
        </is>
      </c>
      <c r="D349" s="8" t="inlineStr">
        <is>
          <t>Streetwear</t>
        </is>
      </c>
      <c r="E349" s="7" t="inlineStr">
        <is>
          <t>Performance</t>
        </is>
      </c>
      <c r="F349" s="7" t="inlineStr">
        <is>
          <t>XL</t>
        </is>
      </c>
      <c r="G349" s="7" t="inlineStr">
        <is>
          <t>blue</t>
        </is>
      </c>
      <c r="H349" s="9" t="n">
        <v>204</v>
      </c>
      <c r="I349" s="9" t="n">
        <v>2</v>
      </c>
      <c r="J349" s="10" t="n">
        <v>6</v>
      </c>
      <c r="K349" s="10">
        <f>IFERROR(J349/30,0)</f>
        <v/>
      </c>
      <c r="L349" s="9" t="n">
        <v>0</v>
      </c>
      <c r="M349" s="11" t="n">
        <v>1</v>
      </c>
      <c r="N349" s="9" t="n">
        <v>0</v>
      </c>
      <c r="O349" s="9" t="n">
        <v>1</v>
      </c>
      <c r="P349" s="9" t="n">
        <v>0</v>
      </c>
      <c r="Q349" s="12" t="n">
        <v>0</v>
      </c>
      <c r="R349" s="12" t="n">
        <v>0</v>
      </c>
      <c r="S349" s="9">
        <f>H349+Q349-R349</f>
        <v/>
      </c>
      <c r="T349" s="12" t="n">
        <v>14</v>
      </c>
      <c r="U349" s="12" t="n">
        <v>7</v>
      </c>
      <c r="V349" s="12" t="n">
        <v>7</v>
      </c>
      <c r="W349" s="10">
        <f>K349*(T349+U349)</f>
        <v/>
      </c>
      <c r="X349" s="10">
        <f>K349*(T349+U349+V349)</f>
        <v/>
      </c>
      <c r="Y349" s="10">
        <f>IF(K349&gt;0,H349/K349,99999)</f>
        <v/>
      </c>
      <c r="Z349" s="8">
        <f>IF(AND(OR(L349&gt;=1,M349&lt;0.95),Y349&gt;120),"DATA CONFLICT - VERIFY",IF(OR(L349&gt;=1,M349&lt;0.95,Y349&lt;=14),"SERVICE / STOCKOUT REVIEW",IF(Y349&gt;120,"OVERSTOCK REVIEW",IF(S349&lt;=W349,"REPLENISHMENT REVIEW","NORMAL MONITORING"))))</f>
        <v/>
      </c>
      <c r="AA349" s="9">
        <f>IF(OR(Z349="DATA CONFLICT - VERIFY",Z349="SERVICE / STOCKOUT REVIEW"),0,IF(S349&lt;=W349,MAX(0,ROUNDUP(X349-S349,0)),0))</f>
        <v/>
      </c>
      <c r="AB349" s="8">
        <f>IF(Z349="DATA CONFLICT - VERIFY","P1 - DATA CONFLICT",IF(Z349="SERVICE / STOCKOUT REVIEW","P1 - SERVICE",IF(Z349="OVERSTOCK REVIEW","P2 - OVERSTOCK",IF(Z349="REPLENISHMENT REVIEW","P2 - REPLENISH","P3 - MONITOR"))))</f>
        <v/>
      </c>
      <c r="AC349" s="10" t="n">
        <v>7901.32826306914</v>
      </c>
      <c r="AD349" s="10" t="n">
        <v>4835.612896998314</v>
      </c>
      <c r="AE349" s="10">
        <f>IF(OR(AD349="",H349=""),"",H349*AD349)</f>
        <v/>
      </c>
    </row>
    <row r="350">
      <c r="A350" s="13" t="inlineStr">
        <is>
          <t>2022-12-31</t>
        </is>
      </c>
      <c r="B350" s="13" t="n">
        <v>1194</v>
      </c>
      <c r="C350" s="14" t="inlineStr">
        <is>
          <t>MekongFit UE-30</t>
        </is>
      </c>
      <c r="D350" s="14" t="inlineStr">
        <is>
          <t>Streetwear</t>
        </is>
      </c>
      <c r="E350" s="13" t="inlineStr">
        <is>
          <t>Performance</t>
        </is>
      </c>
      <c r="F350" s="13" t="inlineStr">
        <is>
          <t>L</t>
        </is>
      </c>
      <c r="G350" s="13" t="inlineStr">
        <is>
          <t>white</t>
        </is>
      </c>
      <c r="H350" s="15" t="n">
        <v>3</v>
      </c>
      <c r="I350" s="15" t="n">
        <v>1</v>
      </c>
      <c r="J350" s="16" t="n">
        <v>3</v>
      </c>
      <c r="K350" s="16">
        <f>IFERROR(J350/30,0)</f>
        <v/>
      </c>
      <c r="L350" s="15" t="n">
        <v>1</v>
      </c>
      <c r="M350" s="17" t="n">
        <v>0.9667</v>
      </c>
      <c r="N350" s="15" t="n">
        <v>1</v>
      </c>
      <c r="O350" s="15" t="n">
        <v>0</v>
      </c>
      <c r="P350" s="15" t="n">
        <v>0</v>
      </c>
      <c r="Q350" s="12" t="n">
        <v>0</v>
      </c>
      <c r="R350" s="12" t="n">
        <v>0</v>
      </c>
      <c r="S350" s="15">
        <f>H350+Q350-R350</f>
        <v/>
      </c>
      <c r="T350" s="12" t="n">
        <v>14</v>
      </c>
      <c r="U350" s="12" t="n">
        <v>7</v>
      </c>
      <c r="V350" s="12" t="n">
        <v>7</v>
      </c>
      <c r="W350" s="16">
        <f>K350*(T350+U350)</f>
        <v/>
      </c>
      <c r="X350" s="16">
        <f>K350*(T350+U350+V350)</f>
        <v/>
      </c>
      <c r="Y350" s="16">
        <f>IF(K350&gt;0,H350/K350,99999)</f>
        <v/>
      </c>
      <c r="Z350" s="14">
        <f>IF(AND(OR(L350&gt;=1,M350&lt;0.95),Y350&gt;120),"DATA CONFLICT - VERIFY",IF(OR(L350&gt;=1,M350&lt;0.95,Y350&lt;=14),"SERVICE / STOCKOUT REVIEW",IF(Y350&gt;120,"OVERSTOCK REVIEW",IF(S350&lt;=W350,"REPLENISHMENT REVIEW","NORMAL MONITORING"))))</f>
        <v/>
      </c>
      <c r="AA350" s="15">
        <f>IF(OR(Z350="DATA CONFLICT - VERIFY",Z350="SERVICE / STOCKOUT REVIEW"),0,IF(S350&lt;=W350,MAX(0,ROUNDUP(X350-S350,0)),0))</f>
        <v/>
      </c>
      <c r="AB350" s="14">
        <f>IF(Z350="DATA CONFLICT - VERIFY","P1 - DATA CONFLICT",IF(Z350="SERVICE / STOCKOUT REVIEW","P1 - SERVICE",IF(Z350="OVERSTOCK REVIEW","P2 - OVERSTOCK",IF(Z350="REPLENISHMENT REVIEW","P2 - REPLENISH","P3 - MONITOR"))))</f>
        <v/>
      </c>
      <c r="AC350" s="16" t="n">
        <v>9476.444380165289</v>
      </c>
      <c r="AD350" s="16" t="n">
        <v>7068.47986316529</v>
      </c>
      <c r="AE350" s="16">
        <f>IF(OR(AD350="",H350=""),"",H350*AD350)</f>
        <v/>
      </c>
    </row>
    <row r="351">
      <c r="A351" s="7" t="inlineStr">
        <is>
          <t>2022-12-31</t>
        </is>
      </c>
      <c r="B351" s="7" t="n">
        <v>1212</v>
      </c>
      <c r="C351" s="8" t="inlineStr">
        <is>
          <t>MekongFit UC-14</t>
        </is>
      </c>
      <c r="D351" s="8" t="inlineStr">
        <is>
          <t>Streetwear</t>
        </is>
      </c>
      <c r="E351" s="7" t="inlineStr">
        <is>
          <t>Everyday</t>
        </is>
      </c>
      <c r="F351" s="7" t="inlineStr">
        <is>
          <t>S</t>
        </is>
      </c>
      <c r="G351" s="7" t="inlineStr">
        <is>
          <t>orange</t>
        </is>
      </c>
      <c r="H351" s="9" t="n">
        <v>334</v>
      </c>
      <c r="I351" s="9" t="n">
        <v>7</v>
      </c>
      <c r="J351" s="10" t="n">
        <v>4.666666666666667</v>
      </c>
      <c r="K351" s="10">
        <f>IFERROR(J351/30,0)</f>
        <v/>
      </c>
      <c r="L351" s="9" t="n">
        <v>1</v>
      </c>
      <c r="M351" s="11" t="n">
        <v>0.9667</v>
      </c>
      <c r="N351" s="9" t="n">
        <v>1</v>
      </c>
      <c r="O351" s="9" t="n">
        <v>1</v>
      </c>
      <c r="P351" s="9" t="n">
        <v>0</v>
      </c>
      <c r="Q351" s="12" t="n">
        <v>0</v>
      </c>
      <c r="R351" s="12" t="n">
        <v>0</v>
      </c>
      <c r="S351" s="9">
        <f>H351+Q351-R351</f>
        <v/>
      </c>
      <c r="T351" s="12" t="n">
        <v>14</v>
      </c>
      <c r="U351" s="12" t="n">
        <v>7</v>
      </c>
      <c r="V351" s="12" t="n">
        <v>7</v>
      </c>
      <c r="W351" s="10">
        <f>K351*(T351+U351)</f>
        <v/>
      </c>
      <c r="X351" s="10">
        <f>K351*(T351+U351+V351)</f>
        <v/>
      </c>
      <c r="Y351" s="10">
        <f>IF(K351&gt;0,H351/K351,99999)</f>
        <v/>
      </c>
      <c r="Z351" s="8">
        <f>IF(AND(OR(L351&gt;=1,M351&lt;0.95),Y351&gt;120),"DATA CONFLICT - VERIFY",IF(OR(L351&gt;=1,M351&lt;0.95,Y351&lt;=14),"SERVICE / STOCKOUT REVIEW",IF(Y351&gt;120,"OVERSTOCK REVIEW",IF(S351&lt;=W351,"REPLENISHMENT REVIEW","NORMAL MONITORING"))))</f>
        <v/>
      </c>
      <c r="AA351" s="9">
        <f>IF(OR(Z351="DATA CONFLICT - VERIFY",Z351="SERVICE / STOCKOUT REVIEW"),0,IF(S351&lt;=W351,MAX(0,ROUNDUP(X351-S351,0)),0))</f>
        <v/>
      </c>
      <c r="AB351" s="8">
        <f>IF(Z351="DATA CONFLICT - VERIFY","P1 - DATA CONFLICT",IF(Z351="SERVICE / STOCKOUT REVIEW","P1 - SERVICE",IF(Z351="OVERSTOCK REVIEW","P2 - OVERSTOCK",IF(Z351="REPLENISHMENT REVIEW","P2 - REPLENISH","P3 - MONITOR"))))</f>
        <v/>
      </c>
      <c r="AC351" s="10" t="n">
        <v>4947.391856581533</v>
      </c>
      <c r="AD351" s="10" t="n">
        <v>3803.060120154224</v>
      </c>
      <c r="AE351" s="10">
        <f>IF(OR(AD351="",H351=""),"",H351*AD351)</f>
        <v/>
      </c>
    </row>
    <row r="352">
      <c r="A352" s="13" t="inlineStr">
        <is>
          <t>2022-12-31</t>
        </is>
      </c>
      <c r="B352" s="13" t="n">
        <v>1217</v>
      </c>
      <c r="C352" s="14" t="inlineStr">
        <is>
          <t>MekongFit UC-19</t>
        </is>
      </c>
      <c r="D352" s="14" t="inlineStr">
        <is>
          <t>Streetwear</t>
        </is>
      </c>
      <c r="E352" s="13" t="inlineStr">
        <is>
          <t>Everyday</t>
        </is>
      </c>
      <c r="F352" s="13" t="inlineStr">
        <is>
          <t>M</t>
        </is>
      </c>
      <c r="G352" s="13" t="inlineStr">
        <is>
          <t>silver</t>
        </is>
      </c>
      <c r="H352" s="15" t="n">
        <v>148</v>
      </c>
      <c r="I352" s="15" t="n">
        <v>1</v>
      </c>
      <c r="J352" s="16" t="n">
        <v>1</v>
      </c>
      <c r="K352" s="16">
        <f>IFERROR(J352/30,0)</f>
        <v/>
      </c>
      <c r="L352" s="15" t="n">
        <v>0</v>
      </c>
      <c r="M352" s="17" t="n">
        <v>1</v>
      </c>
      <c r="N352" s="15" t="n">
        <v>0</v>
      </c>
      <c r="O352" s="15" t="n">
        <v>1</v>
      </c>
      <c r="P352" s="15" t="n">
        <v>0</v>
      </c>
      <c r="Q352" s="12" t="n">
        <v>0</v>
      </c>
      <c r="R352" s="12" t="n">
        <v>0</v>
      </c>
      <c r="S352" s="15">
        <f>H352+Q352-R352</f>
        <v/>
      </c>
      <c r="T352" s="12" t="n">
        <v>14</v>
      </c>
      <c r="U352" s="12" t="n">
        <v>7</v>
      </c>
      <c r="V352" s="12" t="n">
        <v>7</v>
      </c>
      <c r="W352" s="16">
        <f>K352*(T352+U352)</f>
        <v/>
      </c>
      <c r="X352" s="16">
        <f>K352*(T352+U352+V352)</f>
        <v/>
      </c>
      <c r="Y352" s="16">
        <f>IF(K352&gt;0,H352/K352,99999)</f>
        <v/>
      </c>
      <c r="Z352" s="14">
        <f>IF(AND(OR(L352&gt;=1,M352&lt;0.95),Y352&gt;120),"DATA CONFLICT - VERIFY",IF(OR(L352&gt;=1,M352&lt;0.95,Y352&lt;=14),"SERVICE / STOCKOUT REVIEW",IF(Y352&gt;120,"OVERSTOCK REVIEW",IF(S352&lt;=W352,"REPLENISHMENT REVIEW","NORMAL MONITORING"))))</f>
        <v/>
      </c>
      <c r="AA352" s="15">
        <f>IF(OR(Z352="DATA CONFLICT - VERIFY",Z352="SERVICE / STOCKOUT REVIEW"),0,IF(S352&lt;=W352,MAX(0,ROUNDUP(X352-S352,0)),0))</f>
        <v/>
      </c>
      <c r="AB352" s="14">
        <f>IF(Z352="DATA CONFLICT - VERIFY","P1 - DATA CONFLICT",IF(Z352="SERVICE / STOCKOUT REVIEW","P1 - SERVICE",IF(Z352="OVERSTOCK REVIEW","P2 - OVERSTOCK",IF(Z352="REPLENISHMENT REVIEW","P2 - REPLENISH","P3 - MONITOR"))))</f>
        <v/>
      </c>
      <c r="AC352" s="16" t="n">
        <v>7001.426663168941</v>
      </c>
      <c r="AD352" s="16" t="n">
        <v>5863.694830403987</v>
      </c>
      <c r="AE352" s="16">
        <f>IF(OR(AD352="",H352=""),"",H352*AD352)</f>
        <v/>
      </c>
    </row>
    <row r="353">
      <c r="A353" s="7" t="inlineStr">
        <is>
          <t>2022-12-31</t>
        </is>
      </c>
      <c r="B353" s="7" t="n">
        <v>1220</v>
      </c>
      <c r="C353" s="8" t="inlineStr">
        <is>
          <t>MekongFit UC-22</t>
        </is>
      </c>
      <c r="D353" s="8" t="inlineStr">
        <is>
          <t>Streetwear</t>
        </is>
      </c>
      <c r="E353" s="7" t="inlineStr">
        <is>
          <t>Everyday</t>
        </is>
      </c>
      <c r="F353" s="7" t="inlineStr">
        <is>
          <t>S</t>
        </is>
      </c>
      <c r="G353" s="7" t="inlineStr">
        <is>
          <t>red</t>
        </is>
      </c>
      <c r="H353" s="9" t="n">
        <v>6</v>
      </c>
      <c r="I353" s="9" t="n">
        <v>2</v>
      </c>
      <c r="J353" s="10" t="n">
        <v>4</v>
      </c>
      <c r="K353" s="10">
        <f>IFERROR(J353/30,0)</f>
        <v/>
      </c>
      <c r="L353" s="9" t="n">
        <v>0</v>
      </c>
      <c r="M353" s="11" t="n">
        <v>1</v>
      </c>
      <c r="N353" s="9" t="n">
        <v>0</v>
      </c>
      <c r="O353" s="9" t="n">
        <v>0</v>
      </c>
      <c r="P353" s="9" t="n">
        <v>0</v>
      </c>
      <c r="Q353" s="12" t="n">
        <v>0</v>
      </c>
      <c r="R353" s="12" t="n">
        <v>0</v>
      </c>
      <c r="S353" s="9">
        <f>H353+Q353-R353</f>
        <v/>
      </c>
      <c r="T353" s="12" t="n">
        <v>14</v>
      </c>
      <c r="U353" s="12" t="n">
        <v>7</v>
      </c>
      <c r="V353" s="12" t="n">
        <v>7</v>
      </c>
      <c r="W353" s="10">
        <f>K353*(T353+U353)</f>
        <v/>
      </c>
      <c r="X353" s="10">
        <f>K353*(T353+U353+V353)</f>
        <v/>
      </c>
      <c r="Y353" s="10">
        <f>IF(K353&gt;0,H353/K353,99999)</f>
        <v/>
      </c>
      <c r="Z353" s="8">
        <f>IF(AND(OR(L353&gt;=1,M353&lt;0.95),Y353&gt;120),"DATA CONFLICT - VERIFY",IF(OR(L353&gt;=1,M353&lt;0.95,Y353&lt;=14),"SERVICE / STOCKOUT REVIEW",IF(Y353&gt;120,"OVERSTOCK REVIEW",IF(S353&lt;=W353,"REPLENISHMENT REVIEW","NORMAL MONITORING"))))</f>
        <v/>
      </c>
      <c r="AA353" s="9">
        <f>IF(OR(Z353="DATA CONFLICT - VERIFY",Z353="SERVICE / STOCKOUT REVIEW"),0,IF(S353&lt;=W353,MAX(0,ROUNDUP(X353-S353,0)),0))</f>
        <v/>
      </c>
      <c r="AB353" s="8">
        <f>IF(Z353="DATA CONFLICT - VERIFY","P1 - DATA CONFLICT",IF(Z353="SERVICE / STOCKOUT REVIEW","P1 - SERVICE",IF(Z353="OVERSTOCK REVIEW","P2 - OVERSTOCK",IF(Z353="REPLENISHMENT REVIEW","P2 - REPLENISH","P3 - MONITOR"))))</f>
        <v/>
      </c>
      <c r="AC353" s="10" t="n">
        <v>7693.690754716981</v>
      </c>
      <c r="AD353" s="10" t="n">
        <v>5870.286045849057</v>
      </c>
      <c r="AE353" s="10">
        <f>IF(OR(AD353="",H353=""),"",H353*AD353)</f>
        <v/>
      </c>
    </row>
    <row r="354">
      <c r="A354" s="13" t="inlineStr">
        <is>
          <t>2022-12-31</t>
        </is>
      </c>
      <c r="B354" s="13" t="n">
        <v>1223</v>
      </c>
      <c r="C354" s="14" t="inlineStr">
        <is>
          <t>MekongFit UC-25</t>
        </is>
      </c>
      <c r="D354" s="14" t="inlineStr">
        <is>
          <t>Streetwear</t>
        </is>
      </c>
      <c r="E354" s="13" t="inlineStr">
        <is>
          <t>Everyday</t>
        </is>
      </c>
      <c r="F354" s="13" t="inlineStr">
        <is>
          <t>XL</t>
        </is>
      </c>
      <c r="G354" s="13" t="inlineStr">
        <is>
          <t>blue</t>
        </is>
      </c>
      <c r="H354" s="15" t="n">
        <v>450</v>
      </c>
      <c r="I354" s="15" t="n">
        <v>2</v>
      </c>
      <c r="J354" s="16" t="n">
        <v>4.333333333333333</v>
      </c>
      <c r="K354" s="16">
        <f>IFERROR(J354/30,0)</f>
        <v/>
      </c>
      <c r="L354" s="15" t="n">
        <v>2</v>
      </c>
      <c r="M354" s="17" t="n">
        <v>0.9333</v>
      </c>
      <c r="N354" s="15" t="n">
        <v>1</v>
      </c>
      <c r="O354" s="15" t="n">
        <v>1</v>
      </c>
      <c r="P354" s="15" t="n">
        <v>0</v>
      </c>
      <c r="Q354" s="12" t="n">
        <v>0</v>
      </c>
      <c r="R354" s="12" t="n">
        <v>0</v>
      </c>
      <c r="S354" s="15">
        <f>H354+Q354-R354</f>
        <v/>
      </c>
      <c r="T354" s="12" t="n">
        <v>14</v>
      </c>
      <c r="U354" s="12" t="n">
        <v>7</v>
      </c>
      <c r="V354" s="12" t="n">
        <v>7</v>
      </c>
      <c r="W354" s="16">
        <f>K354*(T354+U354)</f>
        <v/>
      </c>
      <c r="X354" s="16">
        <f>K354*(T354+U354+V354)</f>
        <v/>
      </c>
      <c r="Y354" s="16">
        <f>IF(K354&gt;0,H354/K354,99999)</f>
        <v/>
      </c>
      <c r="Z354" s="14">
        <f>IF(AND(OR(L354&gt;=1,M354&lt;0.95),Y354&gt;120),"DATA CONFLICT - VERIFY",IF(OR(L354&gt;=1,M354&lt;0.95,Y354&lt;=14),"SERVICE / STOCKOUT REVIEW",IF(Y354&gt;120,"OVERSTOCK REVIEW",IF(S354&lt;=W354,"REPLENISHMENT REVIEW","NORMAL MONITORING"))))</f>
        <v/>
      </c>
      <c r="AA354" s="15">
        <f>IF(OR(Z354="DATA CONFLICT - VERIFY",Z354="SERVICE / STOCKOUT REVIEW"),0,IF(S354&lt;=W354,MAX(0,ROUNDUP(X354-S354,0)),0))</f>
        <v/>
      </c>
      <c r="AB354" s="14">
        <f>IF(Z354="DATA CONFLICT - VERIFY","P1 - DATA CONFLICT",IF(Z354="SERVICE / STOCKOUT REVIEW","P1 - SERVICE",IF(Z354="OVERSTOCK REVIEW","P2 - OVERSTOCK",IF(Z354="REPLENISHMENT REVIEW","P2 - REPLENISH","P3 - MONITOR"))))</f>
        <v/>
      </c>
      <c r="AC354" s="16" t="n">
        <v>4751.004708205353</v>
      </c>
      <c r="AD354" s="16" t="n">
        <v>4513.454472795085</v>
      </c>
      <c r="AE354" s="16">
        <f>IF(OR(AD354="",H354=""),"",H354*AD354)</f>
        <v/>
      </c>
    </row>
    <row r="355">
      <c r="A355" s="7" t="inlineStr">
        <is>
          <t>2022-12-31</t>
        </is>
      </c>
      <c r="B355" s="7" t="n">
        <v>1673</v>
      </c>
      <c r="C355" s="8" t="inlineStr">
        <is>
          <t>VietMode UE-03</t>
        </is>
      </c>
      <c r="D355" s="8" t="inlineStr">
        <is>
          <t>Streetwear</t>
        </is>
      </c>
      <c r="E355" s="7" t="inlineStr">
        <is>
          <t>Performance</t>
        </is>
      </c>
      <c r="F355" s="7" t="inlineStr">
        <is>
          <t>M</t>
        </is>
      </c>
      <c r="G355" s="7" t="inlineStr">
        <is>
          <t>blue</t>
        </is>
      </c>
      <c r="H355" s="9" t="n">
        <v>5</v>
      </c>
      <c r="I355" s="9" t="n">
        <v>1</v>
      </c>
      <c r="J355" s="10" t="n">
        <v>1</v>
      </c>
      <c r="K355" s="10">
        <f>IFERROR(J355/30,0)</f>
        <v/>
      </c>
      <c r="L355" s="9" t="n">
        <v>1</v>
      </c>
      <c r="M355" s="11" t="n">
        <v>0.9667</v>
      </c>
      <c r="N355" s="9" t="n">
        <v>1</v>
      </c>
      <c r="O355" s="9" t="n">
        <v>1</v>
      </c>
      <c r="P355" s="9" t="n">
        <v>0</v>
      </c>
      <c r="Q355" s="12" t="n">
        <v>0</v>
      </c>
      <c r="R355" s="12" t="n">
        <v>0</v>
      </c>
      <c r="S355" s="9">
        <f>H355+Q355-R355</f>
        <v/>
      </c>
      <c r="T355" s="12" t="n">
        <v>14</v>
      </c>
      <c r="U355" s="12" t="n">
        <v>7</v>
      </c>
      <c r="V355" s="12" t="n">
        <v>7</v>
      </c>
      <c r="W355" s="10">
        <f>K355*(T355+U355)</f>
        <v/>
      </c>
      <c r="X355" s="10">
        <f>K355*(T355+U355+V355)</f>
        <v/>
      </c>
      <c r="Y355" s="10">
        <f>IF(K355&gt;0,H355/K355,99999)</f>
        <v/>
      </c>
      <c r="Z355" s="8">
        <f>IF(AND(OR(L355&gt;=1,M355&lt;0.95),Y355&gt;120),"DATA CONFLICT - VERIFY",IF(OR(L355&gt;=1,M355&lt;0.95,Y355&lt;=14),"SERVICE / STOCKOUT REVIEW",IF(Y355&gt;120,"OVERSTOCK REVIEW",IF(S355&lt;=W355,"REPLENISHMENT REVIEW","NORMAL MONITORING"))))</f>
        <v/>
      </c>
      <c r="AA355" s="9">
        <f>IF(OR(Z355="DATA CONFLICT - VERIFY",Z355="SERVICE / STOCKOUT REVIEW"),0,IF(S355&lt;=W355,MAX(0,ROUNDUP(X355-S355,0)),0))</f>
        <v/>
      </c>
      <c r="AB355" s="8">
        <f>IF(Z355="DATA CONFLICT - VERIFY","P1 - DATA CONFLICT",IF(Z355="SERVICE / STOCKOUT REVIEW","P1 - SERVICE",IF(Z355="OVERSTOCK REVIEW","P2 - OVERSTOCK",IF(Z355="REPLENISHMENT REVIEW","P2 - REPLENISH","P3 - MONITOR"))))</f>
        <v/>
      </c>
      <c r="AC355" s="10" t="n">
        <v>11048.48769230769</v>
      </c>
      <c r="AD355" s="10" t="n">
        <v>6622.463522769231</v>
      </c>
      <c r="AE355" s="10">
        <f>IF(OR(AD355="",H355=""),"",H355*AD355)</f>
        <v/>
      </c>
    </row>
    <row r="356">
      <c r="A356" s="13" t="inlineStr">
        <is>
          <t>2022-12-31</t>
        </is>
      </c>
      <c r="B356" s="13" t="n">
        <v>1682</v>
      </c>
      <c r="C356" s="14" t="inlineStr">
        <is>
          <t>VietMode UE-12</t>
        </is>
      </c>
      <c r="D356" s="14" t="inlineStr">
        <is>
          <t>Streetwear</t>
        </is>
      </c>
      <c r="E356" s="13" t="inlineStr">
        <is>
          <t>Performance</t>
        </is>
      </c>
      <c r="F356" s="13" t="inlineStr">
        <is>
          <t>L</t>
        </is>
      </c>
      <c r="G356" s="13" t="inlineStr">
        <is>
          <t>orange</t>
        </is>
      </c>
      <c r="H356" s="15" t="n">
        <v>15</v>
      </c>
      <c r="I356" s="15" t="n">
        <v>1</v>
      </c>
      <c r="J356" s="16" t="n">
        <v>1.333333333333333</v>
      </c>
      <c r="K356" s="16">
        <f>IFERROR(J356/30,0)</f>
        <v/>
      </c>
      <c r="L356" s="15" t="n">
        <v>0</v>
      </c>
      <c r="M356" s="17" t="n">
        <v>1</v>
      </c>
      <c r="N356" s="15" t="n">
        <v>0</v>
      </c>
      <c r="O356" s="15" t="n">
        <v>1</v>
      </c>
      <c r="P356" s="15" t="n">
        <v>0</v>
      </c>
      <c r="Q356" s="12" t="n">
        <v>0</v>
      </c>
      <c r="R356" s="12" t="n">
        <v>0</v>
      </c>
      <c r="S356" s="15">
        <f>H356+Q356-R356</f>
        <v/>
      </c>
      <c r="T356" s="12" t="n">
        <v>14</v>
      </c>
      <c r="U356" s="12" t="n">
        <v>7</v>
      </c>
      <c r="V356" s="12" t="n">
        <v>7</v>
      </c>
      <c r="W356" s="16">
        <f>K356*(T356+U356)</f>
        <v/>
      </c>
      <c r="X356" s="16">
        <f>K356*(T356+U356+V356)</f>
        <v/>
      </c>
      <c r="Y356" s="16">
        <f>IF(K356&gt;0,H356/K356,99999)</f>
        <v/>
      </c>
      <c r="Z356" s="14">
        <f>IF(AND(OR(L356&gt;=1,M356&lt;0.95),Y356&gt;120),"DATA CONFLICT - VERIFY",IF(OR(L356&gt;=1,M356&lt;0.95,Y356&lt;=14),"SERVICE / STOCKOUT REVIEW",IF(Y356&gt;120,"OVERSTOCK REVIEW",IF(S356&lt;=W356,"REPLENISHMENT REVIEW","NORMAL MONITORING"))))</f>
        <v/>
      </c>
      <c r="AA356" s="15">
        <f>IF(OR(Z356="DATA CONFLICT - VERIFY",Z356="SERVICE / STOCKOUT REVIEW"),0,IF(S356&lt;=W356,MAX(0,ROUNDUP(X356-S356,0)),0))</f>
        <v/>
      </c>
      <c r="AB356" s="14">
        <f>IF(Z356="DATA CONFLICT - VERIFY","P1 - DATA CONFLICT",IF(Z356="SERVICE / STOCKOUT REVIEW","P1 - SERVICE",IF(Z356="OVERSTOCK REVIEW","P2 - OVERSTOCK",IF(Z356="REPLENISHMENT REVIEW","P2 - REPLENISH","P3 - MONITOR"))))</f>
        <v/>
      </c>
      <c r="AC356" s="16" t="n">
        <v>8921.640000000001</v>
      </c>
      <c r="AD356" s="16" t="n">
        <v>8475.558000000001</v>
      </c>
      <c r="AE356" s="16">
        <f>IF(OR(AD356="",H356=""),"",H356*AD356)</f>
        <v/>
      </c>
    </row>
    <row r="357">
      <c r="A357" s="7" t="inlineStr">
        <is>
          <t>2022-12-31</t>
        </is>
      </c>
      <c r="B357" s="7" t="n">
        <v>1687</v>
      </c>
      <c r="C357" s="8" t="inlineStr">
        <is>
          <t>VietMode UE-17</t>
        </is>
      </c>
      <c r="D357" s="8" t="inlineStr">
        <is>
          <t>Streetwear</t>
        </is>
      </c>
      <c r="E357" s="7" t="inlineStr">
        <is>
          <t>Performance</t>
        </is>
      </c>
      <c r="F357" s="7" t="inlineStr">
        <is>
          <t>XL</t>
        </is>
      </c>
      <c r="G357" s="7" t="inlineStr">
        <is>
          <t>silver</t>
        </is>
      </c>
      <c r="H357" s="9" t="n">
        <v>3</v>
      </c>
      <c r="I357" s="9" t="n">
        <v>1</v>
      </c>
      <c r="J357" s="10" t="n">
        <v>1</v>
      </c>
      <c r="K357" s="10">
        <f>IFERROR(J357/30,0)</f>
        <v/>
      </c>
      <c r="L357" s="9" t="n">
        <v>0</v>
      </c>
      <c r="M357" s="11" t="n">
        <v>1</v>
      </c>
      <c r="N357" s="9" t="n">
        <v>0</v>
      </c>
      <c r="O357" s="9" t="n">
        <v>0</v>
      </c>
      <c r="P357" s="9" t="n">
        <v>0</v>
      </c>
      <c r="Q357" s="12" t="n">
        <v>0</v>
      </c>
      <c r="R357" s="12" t="n">
        <v>0</v>
      </c>
      <c r="S357" s="9">
        <f>H357+Q357-R357</f>
        <v/>
      </c>
      <c r="T357" s="12" t="n">
        <v>14</v>
      </c>
      <c r="U357" s="12" t="n">
        <v>7</v>
      </c>
      <c r="V357" s="12" t="n">
        <v>7</v>
      </c>
      <c r="W357" s="10">
        <f>K357*(T357+U357)</f>
        <v/>
      </c>
      <c r="X357" s="10">
        <f>K357*(T357+U357+V357)</f>
        <v/>
      </c>
      <c r="Y357" s="10">
        <f>IF(K357&gt;0,H357/K357,99999)</f>
        <v/>
      </c>
      <c r="Z357" s="8">
        <f>IF(AND(OR(L357&gt;=1,M357&lt;0.95),Y357&gt;120),"DATA CONFLICT - VERIFY",IF(OR(L357&gt;=1,M357&lt;0.95,Y357&lt;=14),"SERVICE / STOCKOUT REVIEW",IF(Y357&gt;120,"OVERSTOCK REVIEW",IF(S357&lt;=W357,"REPLENISHMENT REVIEW","NORMAL MONITORING"))))</f>
        <v/>
      </c>
      <c r="AA357" s="9">
        <f>IF(OR(Z357="DATA CONFLICT - VERIFY",Z357="SERVICE / STOCKOUT REVIEW"),0,IF(S357&lt;=W357,MAX(0,ROUNDUP(X357-S357,0)),0))</f>
        <v/>
      </c>
      <c r="AB357" s="8">
        <f>IF(Z357="DATA CONFLICT - VERIFY","P1 - DATA CONFLICT",IF(Z357="SERVICE / STOCKOUT REVIEW","P1 - SERVICE",IF(Z357="OVERSTOCK REVIEW","P2 - OVERSTOCK",IF(Z357="REPLENISHMENT REVIEW","P2 - REPLENISH","P3 - MONITOR"))))</f>
        <v/>
      </c>
      <c r="AC357" s="10" t="n">
        <v>8819.221764705884</v>
      </c>
      <c r="AD357" s="10" t="n">
        <v>8378.260676470589</v>
      </c>
      <c r="AE357" s="10">
        <f>IF(OR(AD357="",H357=""),"",H357*AD357)</f>
        <v/>
      </c>
    </row>
    <row r="358">
      <c r="A358" s="13" t="inlineStr">
        <is>
          <t>2022-12-31</t>
        </is>
      </c>
      <c r="B358" s="13" t="n">
        <v>1752</v>
      </c>
      <c r="C358" s="14" t="inlineStr">
        <is>
          <t>SaigonCore UM-04</t>
        </is>
      </c>
      <c r="D358" s="14" t="inlineStr">
        <is>
          <t>Streetwear</t>
        </is>
      </c>
      <c r="E358" s="13" t="inlineStr">
        <is>
          <t>Balanced</t>
        </is>
      </c>
      <c r="F358" s="13" t="inlineStr">
        <is>
          <t>S</t>
        </is>
      </c>
      <c r="G358" s="13" t="inlineStr">
        <is>
          <t>orange</t>
        </is>
      </c>
      <c r="H358" s="15" t="n">
        <v>12</v>
      </c>
      <c r="I358" s="15" t="n">
        <v>1</v>
      </c>
      <c r="J358" s="16" t="n">
        <v>1</v>
      </c>
      <c r="K358" s="16">
        <f>IFERROR(J358/30,0)</f>
        <v/>
      </c>
      <c r="L358" s="15" t="n">
        <v>2</v>
      </c>
      <c r="M358" s="17" t="n">
        <v>0.9333</v>
      </c>
      <c r="N358" s="15" t="n">
        <v>1</v>
      </c>
      <c r="O358" s="15" t="n">
        <v>1</v>
      </c>
      <c r="P358" s="15" t="n">
        <v>0</v>
      </c>
      <c r="Q358" s="12" t="n">
        <v>0</v>
      </c>
      <c r="R358" s="12" t="n">
        <v>0</v>
      </c>
      <c r="S358" s="15">
        <f>H358+Q358-R358</f>
        <v/>
      </c>
      <c r="T358" s="12" t="n">
        <v>14</v>
      </c>
      <c r="U358" s="12" t="n">
        <v>7</v>
      </c>
      <c r="V358" s="12" t="n">
        <v>7</v>
      </c>
      <c r="W358" s="16">
        <f>K358*(T358+U358)</f>
        <v/>
      </c>
      <c r="X358" s="16">
        <f>K358*(T358+U358+V358)</f>
        <v/>
      </c>
      <c r="Y358" s="16">
        <f>IF(K358&gt;0,H358/K358,99999)</f>
        <v/>
      </c>
      <c r="Z358" s="14">
        <f>IF(AND(OR(L358&gt;=1,M358&lt;0.95),Y358&gt;120),"DATA CONFLICT - VERIFY",IF(OR(L358&gt;=1,M358&lt;0.95,Y358&lt;=14),"SERVICE / STOCKOUT REVIEW",IF(Y358&gt;120,"OVERSTOCK REVIEW",IF(S358&lt;=W358,"REPLENISHMENT REVIEW","NORMAL MONITORING"))))</f>
        <v/>
      </c>
      <c r="AA358" s="15">
        <f>IF(OR(Z358="DATA CONFLICT - VERIFY",Z358="SERVICE / STOCKOUT REVIEW"),0,IF(S358&lt;=W358,MAX(0,ROUNDUP(X358-S358,0)),0))</f>
        <v/>
      </c>
      <c r="AB358" s="14">
        <f>IF(Z358="DATA CONFLICT - VERIFY","P1 - DATA CONFLICT",IF(Z358="SERVICE / STOCKOUT REVIEW","P1 - SERVICE",IF(Z358="OVERSTOCK REVIEW","P2 - OVERSTOCK",IF(Z358="REPLENISHMENT REVIEW","P2 - REPLENISH","P3 - MONITOR"))))</f>
        <v/>
      </c>
      <c r="AC358" s="16" t="n">
        <v>9766.063636363637</v>
      </c>
      <c r="AD358" s="16" t="n">
        <v>9277.760454545454</v>
      </c>
      <c r="AE358" s="16">
        <f>IF(OR(AD358="",H358=""),"",H358*AD358)</f>
        <v/>
      </c>
    </row>
    <row r="359">
      <c r="A359" s="7" t="inlineStr">
        <is>
          <t>2022-12-31</t>
        </is>
      </c>
      <c r="B359" s="7" t="n">
        <v>1757</v>
      </c>
      <c r="C359" s="8" t="inlineStr">
        <is>
          <t>SaigonCore UR-03</t>
        </is>
      </c>
      <c r="D359" s="8" t="inlineStr">
        <is>
          <t>Streetwear</t>
        </is>
      </c>
      <c r="E359" s="7" t="inlineStr">
        <is>
          <t>Standard</t>
        </is>
      </c>
      <c r="F359" s="7" t="inlineStr">
        <is>
          <t>M</t>
        </is>
      </c>
      <c r="G359" s="7" t="inlineStr">
        <is>
          <t>silver</t>
        </is>
      </c>
      <c r="H359" s="9" t="n">
        <v>8</v>
      </c>
      <c r="I359" s="9" t="n">
        <v>1</v>
      </c>
      <c r="J359" s="10" t="n">
        <v>2</v>
      </c>
      <c r="K359" s="10">
        <f>IFERROR(J359/30,0)</f>
        <v/>
      </c>
      <c r="L359" s="9" t="n">
        <v>1</v>
      </c>
      <c r="M359" s="11" t="n">
        <v>0.9667</v>
      </c>
      <c r="N359" s="9" t="n">
        <v>1</v>
      </c>
      <c r="O359" s="9" t="n">
        <v>1</v>
      </c>
      <c r="P359" s="9" t="n">
        <v>0</v>
      </c>
      <c r="Q359" s="12" t="n">
        <v>0</v>
      </c>
      <c r="R359" s="12" t="n">
        <v>0</v>
      </c>
      <c r="S359" s="9">
        <f>H359+Q359-R359</f>
        <v/>
      </c>
      <c r="T359" s="12" t="n">
        <v>14</v>
      </c>
      <c r="U359" s="12" t="n">
        <v>7</v>
      </c>
      <c r="V359" s="12" t="n">
        <v>7</v>
      </c>
      <c r="W359" s="10">
        <f>K359*(T359+U359)</f>
        <v/>
      </c>
      <c r="X359" s="10">
        <f>K359*(T359+U359+V359)</f>
        <v/>
      </c>
      <c r="Y359" s="10">
        <f>IF(K359&gt;0,H359/K359,99999)</f>
        <v/>
      </c>
      <c r="Z359" s="8">
        <f>IF(AND(OR(L359&gt;=1,M359&lt;0.95),Y359&gt;120),"DATA CONFLICT - VERIFY",IF(OR(L359&gt;=1,M359&lt;0.95,Y359&lt;=14),"SERVICE / STOCKOUT REVIEW",IF(Y359&gt;120,"OVERSTOCK REVIEW",IF(S359&lt;=W359,"REPLENISHMENT REVIEW","NORMAL MONITORING"))))</f>
        <v/>
      </c>
      <c r="AA359" s="9">
        <f>IF(OR(Z359="DATA CONFLICT - VERIFY",Z359="SERVICE / STOCKOUT REVIEW"),0,IF(S359&lt;=W359,MAX(0,ROUNDUP(X359-S359,0)),0))</f>
        <v/>
      </c>
      <c r="AB359" s="8">
        <f>IF(Z359="DATA CONFLICT - VERIFY","P1 - DATA CONFLICT",IF(Z359="SERVICE / STOCKOUT REVIEW","P1 - SERVICE",IF(Z359="OVERSTOCK REVIEW","P2 - OVERSTOCK",IF(Z359="REPLENISHMENT REVIEW","P2 - REPLENISH","P3 - MONITOR"))))</f>
        <v/>
      </c>
      <c r="AC359" s="10" t="n">
        <v>6307.371940298507</v>
      </c>
      <c r="AD359" s="10" t="n">
        <v>3885.971852417911</v>
      </c>
      <c r="AE359" s="10">
        <f>IF(OR(AD359="",H359=""),"",H359*AD359)</f>
        <v/>
      </c>
    </row>
    <row r="360">
      <c r="A360" s="13" t="inlineStr">
        <is>
          <t>2022-12-31</t>
        </is>
      </c>
      <c r="B360" s="13" t="n">
        <v>1759</v>
      </c>
      <c r="C360" s="14" t="inlineStr">
        <is>
          <t>SaigonCore UR-05</t>
        </is>
      </c>
      <c r="D360" s="14" t="inlineStr">
        <is>
          <t>Streetwear</t>
        </is>
      </c>
      <c r="E360" s="13" t="inlineStr">
        <is>
          <t>Standard</t>
        </is>
      </c>
      <c r="F360" s="13" t="inlineStr">
        <is>
          <t>XL</t>
        </is>
      </c>
      <c r="G360" s="13" t="inlineStr">
        <is>
          <t>yellow</t>
        </is>
      </c>
      <c r="H360" s="15" t="n">
        <v>6</v>
      </c>
      <c r="I360" s="15" t="n">
        <v>2</v>
      </c>
      <c r="J360" s="16" t="n">
        <v>2</v>
      </c>
      <c r="K360" s="16">
        <f>IFERROR(J360/30,0)</f>
        <v/>
      </c>
      <c r="L360" s="15" t="n">
        <v>0</v>
      </c>
      <c r="M360" s="17" t="n">
        <v>1</v>
      </c>
      <c r="N360" s="15" t="n">
        <v>0</v>
      </c>
      <c r="O360" s="15" t="n">
        <v>0</v>
      </c>
      <c r="P360" s="15" t="n">
        <v>0</v>
      </c>
      <c r="Q360" s="12" t="n">
        <v>0</v>
      </c>
      <c r="R360" s="12" t="n">
        <v>0</v>
      </c>
      <c r="S360" s="15">
        <f>H360+Q360-R360</f>
        <v/>
      </c>
      <c r="T360" s="12" t="n">
        <v>14</v>
      </c>
      <c r="U360" s="12" t="n">
        <v>7</v>
      </c>
      <c r="V360" s="12" t="n">
        <v>7</v>
      </c>
      <c r="W360" s="16">
        <f>K360*(T360+U360)</f>
        <v/>
      </c>
      <c r="X360" s="16">
        <f>K360*(T360+U360+V360)</f>
        <v/>
      </c>
      <c r="Y360" s="16">
        <f>IF(K360&gt;0,H360/K360,99999)</f>
        <v/>
      </c>
      <c r="Z360" s="14">
        <f>IF(AND(OR(L360&gt;=1,M360&lt;0.95),Y360&gt;120),"DATA CONFLICT - VERIFY",IF(OR(L360&gt;=1,M360&lt;0.95,Y360&lt;=14),"SERVICE / STOCKOUT REVIEW",IF(Y360&gt;120,"OVERSTOCK REVIEW",IF(S360&lt;=W360,"REPLENISHMENT REVIEW","NORMAL MONITORING"))))</f>
        <v/>
      </c>
      <c r="AA360" s="15">
        <f>IF(OR(Z360="DATA CONFLICT - VERIFY",Z360="SERVICE / STOCKOUT REVIEW"),0,IF(S360&lt;=W360,MAX(0,ROUNDUP(X360-S360,0)),0))</f>
        <v/>
      </c>
      <c r="AB360" s="14">
        <f>IF(Z360="DATA CONFLICT - VERIFY","P1 - DATA CONFLICT",IF(Z360="SERVICE / STOCKOUT REVIEW","P1 - SERVICE",IF(Z360="OVERSTOCK REVIEW","P2 - OVERSTOCK",IF(Z360="REPLENISHMENT REVIEW","P2 - REPLENISH","P3 - MONITOR"))))</f>
        <v/>
      </c>
      <c r="AC360" s="16" t="n">
        <v>5297.992682926829</v>
      </c>
      <c r="AD360" s="16" t="n">
        <v>5033.093048780487</v>
      </c>
      <c r="AE360" s="16">
        <f>IF(OR(AD360="",H360=""),"",H360*AD360)</f>
        <v/>
      </c>
    </row>
    <row r="361">
      <c r="A361" s="7" t="inlineStr">
        <is>
          <t>2022-12-31</t>
        </is>
      </c>
      <c r="B361" s="7" t="n">
        <v>1774</v>
      </c>
      <c r="C361" s="8" t="inlineStr">
        <is>
          <t>SaigonCore UE-09</t>
        </is>
      </c>
      <c r="D361" s="8" t="inlineStr">
        <is>
          <t>Streetwear</t>
        </is>
      </c>
      <c r="E361" s="7" t="inlineStr">
        <is>
          <t>Performance</t>
        </is>
      </c>
      <c r="F361" s="7" t="inlineStr">
        <is>
          <t>L</t>
        </is>
      </c>
      <c r="G361" s="7" t="inlineStr">
        <is>
          <t>white</t>
        </is>
      </c>
      <c r="H361" s="9" t="n">
        <v>7</v>
      </c>
      <c r="I361" s="9" t="n">
        <v>3</v>
      </c>
      <c r="J361" s="10" t="n">
        <v>2.333333333333333</v>
      </c>
      <c r="K361" s="10">
        <f>IFERROR(J361/30,0)</f>
        <v/>
      </c>
      <c r="L361" s="9" t="n">
        <v>1</v>
      </c>
      <c r="M361" s="11" t="n">
        <v>0.9667</v>
      </c>
      <c r="N361" s="9" t="n">
        <v>1</v>
      </c>
      <c r="O361" s="9" t="n">
        <v>0</v>
      </c>
      <c r="P361" s="9" t="n">
        <v>0</v>
      </c>
      <c r="Q361" s="12" t="n">
        <v>0</v>
      </c>
      <c r="R361" s="12" t="n">
        <v>0</v>
      </c>
      <c r="S361" s="9">
        <f>H361+Q361-R361</f>
        <v/>
      </c>
      <c r="T361" s="12" t="n">
        <v>14</v>
      </c>
      <c r="U361" s="12" t="n">
        <v>7</v>
      </c>
      <c r="V361" s="12" t="n">
        <v>7</v>
      </c>
      <c r="W361" s="10">
        <f>K361*(T361+U361)</f>
        <v/>
      </c>
      <c r="X361" s="10">
        <f>K361*(T361+U361+V361)</f>
        <v/>
      </c>
      <c r="Y361" s="10">
        <f>IF(K361&gt;0,H361/K361,99999)</f>
        <v/>
      </c>
      <c r="Z361" s="8">
        <f>IF(AND(OR(L361&gt;=1,M361&lt;0.95),Y361&gt;120),"DATA CONFLICT - VERIFY",IF(OR(L361&gt;=1,M361&lt;0.95,Y361&lt;=14),"SERVICE / STOCKOUT REVIEW",IF(Y361&gt;120,"OVERSTOCK REVIEW",IF(S361&lt;=W361,"REPLENISHMENT REVIEW","NORMAL MONITORING"))))</f>
        <v/>
      </c>
      <c r="AA361" s="9">
        <f>IF(OR(Z361="DATA CONFLICT - VERIFY",Z361="SERVICE / STOCKOUT REVIEW"),0,IF(S361&lt;=W361,MAX(0,ROUNDUP(X361-S361,0)),0))</f>
        <v/>
      </c>
      <c r="AB361" s="8">
        <f>IF(Z361="DATA CONFLICT - VERIFY","P1 - DATA CONFLICT",IF(Z361="SERVICE / STOCKOUT REVIEW","P1 - SERVICE",IF(Z361="OVERSTOCK REVIEW","P2 - OVERSTOCK",IF(Z361="REPLENISHMENT REVIEW","P2 - REPLENISH","P3 - MONITOR"))))</f>
        <v/>
      </c>
      <c r="AC361" s="10" t="n">
        <v>10302.29307692308</v>
      </c>
      <c r="AD361" s="10" t="n">
        <v>8867.183651307692</v>
      </c>
      <c r="AE361" s="10">
        <f>IF(OR(AD361="",H361=""),"",H361*AD361)</f>
        <v/>
      </c>
    </row>
    <row r="362">
      <c r="A362" s="13" t="inlineStr">
        <is>
          <t>2022-12-31</t>
        </is>
      </c>
      <c r="B362" s="13" t="n">
        <v>1863</v>
      </c>
      <c r="C362" s="14" t="inlineStr">
        <is>
          <t>BambooCraft UM-01</t>
        </is>
      </c>
      <c r="D362" s="14" t="inlineStr">
        <is>
          <t>Streetwear</t>
        </is>
      </c>
      <c r="E362" s="13" t="inlineStr">
        <is>
          <t>Balanced</t>
        </is>
      </c>
      <c r="F362" s="13" t="inlineStr">
        <is>
          <t>XL</t>
        </is>
      </c>
      <c r="G362" s="13" t="inlineStr">
        <is>
          <t>blue</t>
        </is>
      </c>
      <c r="H362" s="15" t="n">
        <v>25</v>
      </c>
      <c r="I362" s="15" t="n">
        <v>4</v>
      </c>
      <c r="J362" s="16" t="n">
        <v>4.333333333333333</v>
      </c>
      <c r="K362" s="16">
        <f>IFERROR(J362/30,0)</f>
        <v/>
      </c>
      <c r="L362" s="15" t="n">
        <v>0</v>
      </c>
      <c r="M362" s="17" t="n">
        <v>1</v>
      </c>
      <c r="N362" s="15" t="n">
        <v>0</v>
      </c>
      <c r="O362" s="15" t="n">
        <v>1</v>
      </c>
      <c r="P362" s="15" t="n">
        <v>0</v>
      </c>
      <c r="Q362" s="12" t="n">
        <v>0</v>
      </c>
      <c r="R362" s="12" t="n">
        <v>0</v>
      </c>
      <c r="S362" s="15">
        <f>H362+Q362-R362</f>
        <v/>
      </c>
      <c r="T362" s="12" t="n">
        <v>14</v>
      </c>
      <c r="U362" s="12" t="n">
        <v>7</v>
      </c>
      <c r="V362" s="12" t="n">
        <v>7</v>
      </c>
      <c r="W362" s="16">
        <f>K362*(T362+U362)</f>
        <v/>
      </c>
      <c r="X362" s="16">
        <f>K362*(T362+U362+V362)</f>
        <v/>
      </c>
      <c r="Y362" s="16">
        <f>IF(K362&gt;0,H362/K362,99999)</f>
        <v/>
      </c>
      <c r="Z362" s="14">
        <f>IF(AND(OR(L362&gt;=1,M362&lt;0.95),Y362&gt;120),"DATA CONFLICT - VERIFY",IF(OR(L362&gt;=1,M362&lt;0.95,Y362&lt;=14),"SERVICE / STOCKOUT REVIEW",IF(Y362&gt;120,"OVERSTOCK REVIEW",IF(S362&lt;=W362,"REPLENISHMENT REVIEW","NORMAL MONITORING"))))</f>
        <v/>
      </c>
      <c r="AA362" s="15">
        <f>IF(OR(Z362="DATA CONFLICT - VERIFY",Z362="SERVICE / STOCKOUT REVIEW"),0,IF(S362&lt;=W362,MAX(0,ROUNDUP(X362-S362,0)),0))</f>
        <v/>
      </c>
      <c r="AB362" s="14">
        <f>IF(Z362="DATA CONFLICT - VERIFY","P1 - DATA CONFLICT",IF(Z362="SERVICE / STOCKOUT REVIEW","P1 - SERVICE",IF(Z362="OVERSTOCK REVIEW","P2 - OVERSTOCK",IF(Z362="REPLENISHMENT REVIEW","P2 - REPLENISH","P3 - MONITOR"))))</f>
        <v/>
      </c>
      <c r="AC362" s="16" t="n">
        <v>10115.09916666667</v>
      </c>
      <c r="AD362" s="16" t="n">
        <v>6342.1671775</v>
      </c>
      <c r="AE362" s="16">
        <f>IF(OR(AD362="",H362=""),"",H362*AD362)</f>
        <v/>
      </c>
    </row>
    <row r="363">
      <c r="A363" s="7" t="inlineStr">
        <is>
          <t>2022-12-31</t>
        </is>
      </c>
      <c r="B363" s="7" t="n">
        <v>1864</v>
      </c>
      <c r="C363" s="8" t="inlineStr">
        <is>
          <t>BambooCraft UM-02</t>
        </is>
      </c>
      <c r="D363" s="8" t="inlineStr">
        <is>
          <t>Streetwear</t>
        </is>
      </c>
      <c r="E363" s="7" t="inlineStr">
        <is>
          <t>Balanced</t>
        </is>
      </c>
      <c r="F363" s="7" t="inlineStr">
        <is>
          <t>S</t>
        </is>
      </c>
      <c r="G363" s="7" t="inlineStr">
        <is>
          <t>white</t>
        </is>
      </c>
      <c r="H363" s="9" t="n">
        <v>3</v>
      </c>
      <c r="I363" s="9" t="n">
        <v>2</v>
      </c>
      <c r="J363" s="10" t="n">
        <v>1.666666666666667</v>
      </c>
      <c r="K363" s="10">
        <f>IFERROR(J363/30,0)</f>
        <v/>
      </c>
      <c r="L363" s="9" t="n">
        <v>1</v>
      </c>
      <c r="M363" s="11" t="n">
        <v>0.9667</v>
      </c>
      <c r="N363" s="9" t="n">
        <v>1</v>
      </c>
      <c r="O363" s="9" t="n">
        <v>0</v>
      </c>
      <c r="P363" s="9" t="n">
        <v>0</v>
      </c>
      <c r="Q363" s="12" t="n">
        <v>0</v>
      </c>
      <c r="R363" s="12" t="n">
        <v>0</v>
      </c>
      <c r="S363" s="9">
        <f>H363+Q363-R363</f>
        <v/>
      </c>
      <c r="T363" s="12" t="n">
        <v>14</v>
      </c>
      <c r="U363" s="12" t="n">
        <v>7</v>
      </c>
      <c r="V363" s="12" t="n">
        <v>7</v>
      </c>
      <c r="W363" s="10">
        <f>K363*(T363+U363)</f>
        <v/>
      </c>
      <c r="X363" s="10">
        <f>K363*(T363+U363+V363)</f>
        <v/>
      </c>
      <c r="Y363" s="10">
        <f>IF(K363&gt;0,H363/K363,99999)</f>
        <v/>
      </c>
      <c r="Z363" s="8">
        <f>IF(AND(OR(L363&gt;=1,M363&lt;0.95),Y363&gt;120),"DATA CONFLICT - VERIFY",IF(OR(L363&gt;=1,M363&lt;0.95,Y363&lt;=14),"SERVICE / STOCKOUT REVIEW",IF(Y363&gt;120,"OVERSTOCK REVIEW",IF(S363&lt;=W363,"REPLENISHMENT REVIEW","NORMAL MONITORING"))))</f>
        <v/>
      </c>
      <c r="AA363" s="9">
        <f>IF(OR(Z363="DATA CONFLICT - VERIFY",Z363="SERVICE / STOCKOUT REVIEW"),0,IF(S363&lt;=W363,MAX(0,ROUNDUP(X363-S363,0)),0))</f>
        <v/>
      </c>
      <c r="AB363" s="8">
        <f>IF(Z363="DATA CONFLICT - VERIFY","P1 - DATA CONFLICT",IF(Z363="SERVICE / STOCKOUT REVIEW","P1 - SERVICE",IF(Z363="OVERSTOCK REVIEW","P2 - OVERSTOCK",IF(Z363="REPLENISHMENT REVIEW","P2 - REPLENISH","P3 - MONITOR"))))</f>
        <v/>
      </c>
      <c r="AC363" s="10" t="n">
        <v>11978.28509433962</v>
      </c>
      <c r="AD363" s="10" t="n">
        <v>7438.515043584906</v>
      </c>
      <c r="AE363" s="10">
        <f>IF(OR(AD363="",H363=""),"",H363*AD363)</f>
        <v/>
      </c>
    </row>
    <row r="364">
      <c r="A364" s="13" t="inlineStr">
        <is>
          <t>2022-12-31</t>
        </is>
      </c>
      <c r="B364" s="13" t="n">
        <v>1868</v>
      </c>
      <c r="C364" s="14" t="inlineStr">
        <is>
          <t>BambooCraft UM-06</t>
        </is>
      </c>
      <c r="D364" s="14" t="inlineStr">
        <is>
          <t>Streetwear</t>
        </is>
      </c>
      <c r="E364" s="13" t="inlineStr">
        <is>
          <t>Balanced</t>
        </is>
      </c>
      <c r="F364" s="13" t="inlineStr">
        <is>
          <t>S</t>
        </is>
      </c>
      <c r="G364" s="13" t="inlineStr">
        <is>
          <t>pink</t>
        </is>
      </c>
      <c r="H364" s="15" t="n">
        <v>31</v>
      </c>
      <c r="I364" s="15" t="n">
        <v>4</v>
      </c>
      <c r="J364" s="16" t="n">
        <v>4.333333333333333</v>
      </c>
      <c r="K364" s="16">
        <f>IFERROR(J364/30,0)</f>
        <v/>
      </c>
      <c r="L364" s="15" t="n">
        <v>1</v>
      </c>
      <c r="M364" s="17" t="n">
        <v>0.9667</v>
      </c>
      <c r="N364" s="15" t="n">
        <v>1</v>
      </c>
      <c r="O364" s="15" t="n">
        <v>1</v>
      </c>
      <c r="P364" s="15" t="n">
        <v>0</v>
      </c>
      <c r="Q364" s="12" t="n">
        <v>0</v>
      </c>
      <c r="R364" s="12" t="n">
        <v>0</v>
      </c>
      <c r="S364" s="15">
        <f>H364+Q364-R364</f>
        <v/>
      </c>
      <c r="T364" s="12" t="n">
        <v>14</v>
      </c>
      <c r="U364" s="12" t="n">
        <v>7</v>
      </c>
      <c r="V364" s="12" t="n">
        <v>7</v>
      </c>
      <c r="W364" s="16">
        <f>K364*(T364+U364)</f>
        <v/>
      </c>
      <c r="X364" s="16">
        <f>K364*(T364+U364+V364)</f>
        <v/>
      </c>
      <c r="Y364" s="16">
        <f>IF(K364&gt;0,H364/K364,99999)</f>
        <v/>
      </c>
      <c r="Z364" s="14">
        <f>IF(AND(OR(L364&gt;=1,M364&lt;0.95),Y364&gt;120),"DATA CONFLICT - VERIFY",IF(OR(L364&gt;=1,M364&lt;0.95,Y364&lt;=14),"SERVICE / STOCKOUT REVIEW",IF(Y364&gt;120,"OVERSTOCK REVIEW",IF(S364&lt;=W364,"REPLENISHMENT REVIEW","NORMAL MONITORING"))))</f>
        <v/>
      </c>
      <c r="AA364" s="15">
        <f>IF(OR(Z364="DATA CONFLICT - VERIFY",Z364="SERVICE / STOCKOUT REVIEW"),0,IF(S364&lt;=W364,MAX(0,ROUNDUP(X364-S364,0)),0))</f>
        <v/>
      </c>
      <c r="AB364" s="14">
        <f>IF(Z364="DATA CONFLICT - VERIFY","P1 - DATA CONFLICT",IF(Z364="SERVICE / STOCKOUT REVIEW","P1 - SERVICE",IF(Z364="OVERSTOCK REVIEW","P2 - OVERSTOCK",IF(Z364="REPLENISHMENT REVIEW","P2 - REPLENISH","P3 - MONITOR"))))</f>
        <v/>
      </c>
      <c r="AC364" s="16" t="n">
        <v>14247.51249329759</v>
      </c>
      <c r="AD364" s="16" t="n">
        <v>13535.13686863271</v>
      </c>
      <c r="AE364" s="16">
        <f>IF(OR(AD364="",H364=""),"",H364*AD364)</f>
        <v/>
      </c>
    </row>
    <row r="365">
      <c r="A365" s="7" t="inlineStr">
        <is>
          <t>2022-12-31</t>
        </is>
      </c>
      <c r="B365" s="7" t="n">
        <v>1869</v>
      </c>
      <c r="C365" s="8" t="inlineStr">
        <is>
          <t>BambooCraft UM-07</t>
        </is>
      </c>
      <c r="D365" s="8" t="inlineStr">
        <is>
          <t>Streetwear</t>
        </is>
      </c>
      <c r="E365" s="7" t="inlineStr">
        <is>
          <t>Balanced</t>
        </is>
      </c>
      <c r="F365" s="7" t="inlineStr">
        <is>
          <t>M</t>
        </is>
      </c>
      <c r="G365" s="7" t="inlineStr">
        <is>
          <t>yellow</t>
        </is>
      </c>
      <c r="H365" s="9" t="n">
        <v>3</v>
      </c>
      <c r="I365" s="9" t="n">
        <v>1</v>
      </c>
      <c r="J365" s="10" t="n">
        <v>1</v>
      </c>
      <c r="K365" s="10">
        <f>IFERROR(J365/30,0)</f>
        <v/>
      </c>
      <c r="L365" s="9" t="n">
        <v>0</v>
      </c>
      <c r="M365" s="11" t="n">
        <v>1</v>
      </c>
      <c r="N365" s="9" t="n">
        <v>0</v>
      </c>
      <c r="O365" s="9" t="n">
        <v>0</v>
      </c>
      <c r="P365" s="9" t="n">
        <v>0</v>
      </c>
      <c r="Q365" s="12" t="n">
        <v>0</v>
      </c>
      <c r="R365" s="12" t="n">
        <v>0</v>
      </c>
      <c r="S365" s="9">
        <f>H365+Q365-R365</f>
        <v/>
      </c>
      <c r="T365" s="12" t="n">
        <v>14</v>
      </c>
      <c r="U365" s="12" t="n">
        <v>7</v>
      </c>
      <c r="V365" s="12" t="n">
        <v>7</v>
      </c>
      <c r="W365" s="10">
        <f>K365*(T365+U365)</f>
        <v/>
      </c>
      <c r="X365" s="10">
        <f>K365*(T365+U365+V365)</f>
        <v/>
      </c>
      <c r="Y365" s="10">
        <f>IF(K365&gt;0,H365/K365,99999)</f>
        <v/>
      </c>
      <c r="Z365" s="8">
        <f>IF(AND(OR(L365&gt;=1,M365&lt;0.95),Y365&gt;120),"DATA CONFLICT - VERIFY",IF(OR(L365&gt;=1,M365&lt;0.95,Y365&lt;=14),"SERVICE / STOCKOUT REVIEW",IF(Y365&gt;120,"OVERSTOCK REVIEW",IF(S365&lt;=W365,"REPLENISHMENT REVIEW","NORMAL MONITORING"))))</f>
        <v/>
      </c>
      <c r="AA365" s="9">
        <f>IF(OR(Z365="DATA CONFLICT - VERIFY",Z365="SERVICE / STOCKOUT REVIEW"),0,IF(S365&lt;=W365,MAX(0,ROUNDUP(X365-S365,0)),0))</f>
        <v/>
      </c>
      <c r="AB365" s="8">
        <f>IF(Z365="DATA CONFLICT - VERIFY","P1 - DATA CONFLICT",IF(Z365="SERVICE / STOCKOUT REVIEW","P1 - SERVICE",IF(Z365="OVERSTOCK REVIEW","P2 - OVERSTOCK",IF(Z365="REPLENISHMENT REVIEW","P2 - REPLENISH","P3 - MONITOR"))))</f>
        <v/>
      </c>
      <c r="AC365" s="10" t="n">
        <v>11339.37</v>
      </c>
      <c r="AD365" s="10" t="n">
        <v>7381.929870000001</v>
      </c>
      <c r="AE365" s="10">
        <f>IF(OR(AD365="",H365=""),"",H365*AD365)</f>
        <v/>
      </c>
    </row>
    <row r="366">
      <c r="A366" s="13" t="inlineStr">
        <is>
          <t>2022-12-31</t>
        </is>
      </c>
      <c r="B366" s="13" t="n">
        <v>1871</v>
      </c>
      <c r="C366" s="14" t="inlineStr">
        <is>
          <t>BambooCraft UM-09</t>
        </is>
      </c>
      <c r="D366" s="14" t="inlineStr">
        <is>
          <t>Streetwear</t>
        </is>
      </c>
      <c r="E366" s="13" t="inlineStr">
        <is>
          <t>Balanced</t>
        </is>
      </c>
      <c r="F366" s="13" t="inlineStr">
        <is>
          <t>XL</t>
        </is>
      </c>
      <c r="G366" s="13" t="inlineStr">
        <is>
          <t>black</t>
        </is>
      </c>
      <c r="H366" s="15" t="n">
        <v>5</v>
      </c>
      <c r="I366" s="15" t="n">
        <v>2</v>
      </c>
      <c r="J366" s="16" t="n">
        <v>1.666666666666667</v>
      </c>
      <c r="K366" s="16">
        <f>IFERROR(J366/30,0)</f>
        <v/>
      </c>
      <c r="L366" s="15" t="n">
        <v>1</v>
      </c>
      <c r="M366" s="17" t="n">
        <v>0.9667</v>
      </c>
      <c r="N366" s="15" t="n">
        <v>1</v>
      </c>
      <c r="O366" s="15" t="n">
        <v>0</v>
      </c>
      <c r="P366" s="15" t="n">
        <v>0</v>
      </c>
      <c r="Q366" s="12" t="n">
        <v>0</v>
      </c>
      <c r="R366" s="12" t="n">
        <v>0</v>
      </c>
      <c r="S366" s="15">
        <f>H366+Q366-R366</f>
        <v/>
      </c>
      <c r="T366" s="12" t="n">
        <v>14</v>
      </c>
      <c r="U366" s="12" t="n">
        <v>7</v>
      </c>
      <c r="V366" s="12" t="n">
        <v>7</v>
      </c>
      <c r="W366" s="16">
        <f>K366*(T366+U366)</f>
        <v/>
      </c>
      <c r="X366" s="16">
        <f>K366*(T366+U366+V366)</f>
        <v/>
      </c>
      <c r="Y366" s="16">
        <f>IF(K366&gt;0,H366/K366,99999)</f>
        <v/>
      </c>
      <c r="Z366" s="14">
        <f>IF(AND(OR(L366&gt;=1,M366&lt;0.95),Y366&gt;120),"DATA CONFLICT - VERIFY",IF(OR(L366&gt;=1,M366&lt;0.95,Y366&lt;=14),"SERVICE / STOCKOUT REVIEW",IF(Y366&gt;120,"OVERSTOCK REVIEW",IF(S366&lt;=W366,"REPLENISHMENT REVIEW","NORMAL MONITORING"))))</f>
        <v/>
      </c>
      <c r="AA366" s="15">
        <f>IF(OR(Z366="DATA CONFLICT - VERIFY",Z366="SERVICE / STOCKOUT REVIEW"),0,IF(S366&lt;=W366,MAX(0,ROUNDUP(X366-S366,0)),0))</f>
        <v/>
      </c>
      <c r="AB366" s="14">
        <f>IF(Z366="DATA CONFLICT - VERIFY","P1 - DATA CONFLICT",IF(Z366="SERVICE / STOCKOUT REVIEW","P1 - SERVICE",IF(Z366="OVERSTOCK REVIEW","P2 - OVERSTOCK",IF(Z366="REPLENISHMENT REVIEW","P2 - REPLENISH","P3 - MONITOR"))))</f>
        <v/>
      </c>
      <c r="AC366" s="16" t="n">
        <v>12087.15260869565</v>
      </c>
      <c r="AD366" s="16" t="n">
        <v>7307.892467217392</v>
      </c>
      <c r="AE366" s="16">
        <f>IF(OR(AD366="",H366=""),"",H366*AD366)</f>
        <v/>
      </c>
    </row>
    <row r="367">
      <c r="A367" s="7" t="inlineStr">
        <is>
          <t>2022-12-31</t>
        </is>
      </c>
      <c r="B367" s="7" t="n">
        <v>1875</v>
      </c>
      <c r="C367" s="8" t="inlineStr">
        <is>
          <t>BambooCraft UM-13</t>
        </is>
      </c>
      <c r="D367" s="8" t="inlineStr">
        <is>
          <t>Streetwear</t>
        </is>
      </c>
      <c r="E367" s="7" t="inlineStr">
        <is>
          <t>Balanced</t>
        </is>
      </c>
      <c r="F367" s="7" t="inlineStr">
        <is>
          <t>XL</t>
        </is>
      </c>
      <c r="G367" s="7" t="inlineStr">
        <is>
          <t>purple</t>
        </is>
      </c>
      <c r="H367" s="9" t="n">
        <v>66</v>
      </c>
      <c r="I367" s="9" t="n">
        <v>4</v>
      </c>
      <c r="J367" s="10" t="n">
        <v>4</v>
      </c>
      <c r="K367" s="10">
        <f>IFERROR(J367/30,0)</f>
        <v/>
      </c>
      <c r="L367" s="9" t="n">
        <v>1</v>
      </c>
      <c r="M367" s="11" t="n">
        <v>0.9667</v>
      </c>
      <c r="N367" s="9" t="n">
        <v>1</v>
      </c>
      <c r="O367" s="9" t="n">
        <v>1</v>
      </c>
      <c r="P367" s="9" t="n">
        <v>0</v>
      </c>
      <c r="Q367" s="12" t="n">
        <v>0</v>
      </c>
      <c r="R367" s="12" t="n">
        <v>0</v>
      </c>
      <c r="S367" s="9">
        <f>H367+Q367-R367</f>
        <v/>
      </c>
      <c r="T367" s="12" t="n">
        <v>14</v>
      </c>
      <c r="U367" s="12" t="n">
        <v>7</v>
      </c>
      <c r="V367" s="12" t="n">
        <v>7</v>
      </c>
      <c r="W367" s="10">
        <f>K367*(T367+U367)</f>
        <v/>
      </c>
      <c r="X367" s="10">
        <f>K367*(T367+U367+V367)</f>
        <v/>
      </c>
      <c r="Y367" s="10">
        <f>IF(K367&gt;0,H367/K367,99999)</f>
        <v/>
      </c>
      <c r="Z367" s="8">
        <f>IF(AND(OR(L367&gt;=1,M367&lt;0.95),Y367&gt;120),"DATA CONFLICT - VERIFY",IF(OR(L367&gt;=1,M367&lt;0.95,Y367&lt;=14),"SERVICE / STOCKOUT REVIEW",IF(Y367&gt;120,"OVERSTOCK REVIEW",IF(S367&lt;=W367,"REPLENISHMENT REVIEW","NORMAL MONITORING"))))</f>
        <v/>
      </c>
      <c r="AA367" s="9">
        <f>IF(OR(Z367="DATA CONFLICT - VERIFY",Z367="SERVICE / STOCKOUT REVIEW"),0,IF(S367&lt;=W367,MAX(0,ROUNDUP(X367-S367,0)),0))</f>
        <v/>
      </c>
      <c r="AB367" s="8">
        <f>IF(Z367="DATA CONFLICT - VERIFY","P1 - DATA CONFLICT",IF(Z367="SERVICE / STOCKOUT REVIEW","P1 - SERVICE",IF(Z367="OVERSTOCK REVIEW","P2 - OVERSTOCK",IF(Z367="REPLENISHMENT REVIEW","P2 - REPLENISH","P3 - MONITOR"))))</f>
        <v/>
      </c>
      <c r="AC367" s="10" t="n">
        <v>13973.85093587522</v>
      </c>
      <c r="AD367" s="10" t="n">
        <v>11114.80103439515</v>
      </c>
      <c r="AE367" s="10">
        <f>IF(OR(AD367="",H367=""),"",H367*AD367)</f>
        <v/>
      </c>
    </row>
    <row r="368">
      <c r="A368" s="13" t="inlineStr">
        <is>
          <t>2022-12-31</t>
        </is>
      </c>
      <c r="B368" s="13" t="n">
        <v>1879</v>
      </c>
      <c r="C368" s="14" t="inlineStr">
        <is>
          <t>BambooCraft UM-17</t>
        </is>
      </c>
      <c r="D368" s="14" t="inlineStr">
        <is>
          <t>Streetwear</t>
        </is>
      </c>
      <c r="E368" s="13" t="inlineStr">
        <is>
          <t>Balanced</t>
        </is>
      </c>
      <c r="F368" s="13" t="inlineStr">
        <is>
          <t>XL</t>
        </is>
      </c>
      <c r="G368" s="13" t="inlineStr">
        <is>
          <t>yellow</t>
        </is>
      </c>
      <c r="H368" s="15" t="n">
        <v>79</v>
      </c>
      <c r="I368" s="15" t="n">
        <v>4</v>
      </c>
      <c r="J368" s="16" t="n">
        <v>3.666666666666667</v>
      </c>
      <c r="K368" s="16">
        <f>IFERROR(J368/30,0)</f>
        <v/>
      </c>
      <c r="L368" s="15" t="n">
        <v>0</v>
      </c>
      <c r="M368" s="17" t="n">
        <v>1</v>
      </c>
      <c r="N368" s="15" t="n">
        <v>0</v>
      </c>
      <c r="O368" s="15" t="n">
        <v>1</v>
      </c>
      <c r="P368" s="15" t="n">
        <v>0</v>
      </c>
      <c r="Q368" s="12" t="n">
        <v>0</v>
      </c>
      <c r="R368" s="12" t="n">
        <v>0</v>
      </c>
      <c r="S368" s="15">
        <f>H368+Q368-R368</f>
        <v/>
      </c>
      <c r="T368" s="12" t="n">
        <v>14</v>
      </c>
      <c r="U368" s="12" t="n">
        <v>7</v>
      </c>
      <c r="V368" s="12" t="n">
        <v>7</v>
      </c>
      <c r="W368" s="16">
        <f>K368*(T368+U368)</f>
        <v/>
      </c>
      <c r="X368" s="16">
        <f>K368*(T368+U368+V368)</f>
        <v/>
      </c>
      <c r="Y368" s="16">
        <f>IF(K368&gt;0,H368/K368,99999)</f>
        <v/>
      </c>
      <c r="Z368" s="14">
        <f>IF(AND(OR(L368&gt;=1,M368&lt;0.95),Y368&gt;120),"DATA CONFLICT - VERIFY",IF(OR(L368&gt;=1,M368&lt;0.95,Y368&lt;=14),"SERVICE / STOCKOUT REVIEW",IF(Y368&gt;120,"OVERSTOCK REVIEW",IF(S368&lt;=W368,"REPLENISHMENT REVIEW","NORMAL MONITORING"))))</f>
        <v/>
      </c>
      <c r="AA368" s="15">
        <f>IF(OR(Z368="DATA CONFLICT - VERIFY",Z368="SERVICE / STOCKOUT REVIEW"),0,IF(S368&lt;=W368,MAX(0,ROUNDUP(X368-S368,0)),0))</f>
        <v/>
      </c>
      <c r="AB368" s="14">
        <f>IF(Z368="DATA CONFLICT - VERIFY","P1 - DATA CONFLICT",IF(Z368="SERVICE / STOCKOUT REVIEW","P1 - SERVICE",IF(Z368="OVERSTOCK REVIEW","P2 - OVERSTOCK",IF(Z368="REPLENISHMENT REVIEW","P2 - REPLENISH","P3 - MONITOR"))))</f>
        <v/>
      </c>
      <c r="AC368" s="16" t="n">
        <v>12504.49162162162</v>
      </c>
      <c r="AD368" s="16" t="n">
        <v>11879.26704054054</v>
      </c>
      <c r="AE368" s="16">
        <f>IF(OR(AD368="",H368=""),"",H368*AD368)</f>
        <v/>
      </c>
    </row>
    <row r="369">
      <c r="A369" s="7" t="inlineStr">
        <is>
          <t>2022-12-31</t>
        </is>
      </c>
      <c r="B369" s="7" t="n">
        <v>1883</v>
      </c>
      <c r="C369" s="8" t="inlineStr">
        <is>
          <t>BambooCraft UC-02</t>
        </is>
      </c>
      <c r="D369" s="8" t="inlineStr">
        <is>
          <t>Streetwear</t>
        </is>
      </c>
      <c r="E369" s="7" t="inlineStr">
        <is>
          <t>Everyday</t>
        </is>
      </c>
      <c r="F369" s="7" t="inlineStr">
        <is>
          <t>XL</t>
        </is>
      </c>
      <c r="G369" s="7" t="inlineStr">
        <is>
          <t>blue</t>
        </is>
      </c>
      <c r="H369" s="9" t="n">
        <v>7</v>
      </c>
      <c r="I369" s="9" t="n">
        <v>1</v>
      </c>
      <c r="J369" s="10" t="n">
        <v>1</v>
      </c>
      <c r="K369" s="10">
        <f>IFERROR(J369/30,0)</f>
        <v/>
      </c>
      <c r="L369" s="9" t="n">
        <v>2</v>
      </c>
      <c r="M369" s="11" t="n">
        <v>0.9333</v>
      </c>
      <c r="N369" s="9" t="n">
        <v>1</v>
      </c>
      <c r="O369" s="9" t="n">
        <v>1</v>
      </c>
      <c r="P369" s="9" t="n">
        <v>0</v>
      </c>
      <c r="Q369" s="12" t="n">
        <v>0</v>
      </c>
      <c r="R369" s="12" t="n">
        <v>0</v>
      </c>
      <c r="S369" s="9">
        <f>H369+Q369-R369</f>
        <v/>
      </c>
      <c r="T369" s="12" t="n">
        <v>14</v>
      </c>
      <c r="U369" s="12" t="n">
        <v>7</v>
      </c>
      <c r="V369" s="12" t="n">
        <v>7</v>
      </c>
      <c r="W369" s="10">
        <f>K369*(T369+U369)</f>
        <v/>
      </c>
      <c r="X369" s="10">
        <f>K369*(T369+U369+V369)</f>
        <v/>
      </c>
      <c r="Y369" s="10">
        <f>IF(K369&gt;0,H369/K369,99999)</f>
        <v/>
      </c>
      <c r="Z369" s="8">
        <f>IF(AND(OR(L369&gt;=1,M369&lt;0.95),Y369&gt;120),"DATA CONFLICT - VERIFY",IF(OR(L369&gt;=1,M369&lt;0.95,Y369&lt;=14),"SERVICE / STOCKOUT REVIEW",IF(Y369&gt;120,"OVERSTOCK REVIEW",IF(S369&lt;=W369,"REPLENISHMENT REVIEW","NORMAL MONITORING"))))</f>
        <v/>
      </c>
      <c r="AA369" s="9">
        <f>IF(OR(Z369="DATA CONFLICT - VERIFY",Z369="SERVICE / STOCKOUT REVIEW"),0,IF(S369&lt;=W369,MAX(0,ROUNDUP(X369-S369,0)),0))</f>
        <v/>
      </c>
      <c r="AB369" s="8">
        <f>IF(Z369="DATA CONFLICT - VERIFY","P1 - DATA CONFLICT",IF(Z369="SERVICE / STOCKOUT REVIEW","P1 - SERVICE",IF(Z369="OVERSTOCK REVIEW","P2 - OVERSTOCK",IF(Z369="REPLENISHMENT REVIEW","P2 - REPLENISH","P3 - MONITOR"))))</f>
        <v/>
      </c>
      <c r="AC369" s="10" t="n">
        <v>9147.140270270271</v>
      </c>
      <c r="AD369" s="10" t="n">
        <v>8689.783256756757</v>
      </c>
      <c r="AE369" s="10">
        <f>IF(OR(AD369="",H369=""),"",H369*AD369)</f>
        <v/>
      </c>
    </row>
    <row r="370">
      <c r="A370" s="13" t="inlineStr">
        <is>
          <t>2022-12-31</t>
        </is>
      </c>
      <c r="B370" s="13" t="n">
        <v>1889</v>
      </c>
      <c r="C370" s="14" t="inlineStr">
        <is>
          <t>BambooCraft UC-08</t>
        </is>
      </c>
      <c r="D370" s="14" t="inlineStr">
        <is>
          <t>Streetwear</t>
        </is>
      </c>
      <c r="E370" s="13" t="inlineStr">
        <is>
          <t>Everyday</t>
        </is>
      </c>
      <c r="F370" s="13" t="inlineStr">
        <is>
          <t>M</t>
        </is>
      </c>
      <c r="G370" s="13" t="inlineStr">
        <is>
          <t>yellow</t>
        </is>
      </c>
      <c r="H370" s="15" t="n">
        <v>59</v>
      </c>
      <c r="I370" s="15" t="n">
        <v>5</v>
      </c>
      <c r="J370" s="16" t="n">
        <v>4.333333333333333</v>
      </c>
      <c r="K370" s="16">
        <f>IFERROR(J370/30,0)</f>
        <v/>
      </c>
      <c r="L370" s="15" t="n">
        <v>2</v>
      </c>
      <c r="M370" s="17" t="n">
        <v>0.9333</v>
      </c>
      <c r="N370" s="15" t="n">
        <v>1</v>
      </c>
      <c r="O370" s="15" t="n">
        <v>1</v>
      </c>
      <c r="P370" s="15" t="n">
        <v>0</v>
      </c>
      <c r="Q370" s="12" t="n">
        <v>0</v>
      </c>
      <c r="R370" s="12" t="n">
        <v>0</v>
      </c>
      <c r="S370" s="15">
        <f>H370+Q370-R370</f>
        <v/>
      </c>
      <c r="T370" s="12" t="n">
        <v>14</v>
      </c>
      <c r="U370" s="12" t="n">
        <v>7</v>
      </c>
      <c r="V370" s="12" t="n">
        <v>7</v>
      </c>
      <c r="W370" s="16">
        <f>K370*(T370+U370)</f>
        <v/>
      </c>
      <c r="X370" s="16">
        <f>K370*(T370+U370+V370)</f>
        <v/>
      </c>
      <c r="Y370" s="16">
        <f>IF(K370&gt;0,H370/K370,99999)</f>
        <v/>
      </c>
      <c r="Z370" s="14">
        <f>IF(AND(OR(L370&gt;=1,M370&lt;0.95),Y370&gt;120),"DATA CONFLICT - VERIFY",IF(OR(L370&gt;=1,M370&lt;0.95,Y370&lt;=14),"SERVICE / STOCKOUT REVIEW",IF(Y370&gt;120,"OVERSTOCK REVIEW",IF(S370&lt;=W370,"REPLENISHMENT REVIEW","NORMAL MONITORING"))))</f>
        <v/>
      </c>
      <c r="AA370" s="15">
        <f>IF(OR(Z370="DATA CONFLICT - VERIFY",Z370="SERVICE / STOCKOUT REVIEW"),0,IF(S370&lt;=W370,MAX(0,ROUNDUP(X370-S370,0)),0))</f>
        <v/>
      </c>
      <c r="AB370" s="14">
        <f>IF(Z370="DATA CONFLICT - VERIFY","P1 - DATA CONFLICT",IF(Z370="SERVICE / STOCKOUT REVIEW","P1 - SERVICE",IF(Z370="OVERSTOCK REVIEW","P2 - OVERSTOCK",IF(Z370="REPLENISHMENT REVIEW","P2 - REPLENISH","P3 - MONITOR"))))</f>
        <v/>
      </c>
      <c r="AC370" s="16" t="n">
        <v>8251.836923076922</v>
      </c>
      <c r="AD370" s="16" t="n">
        <v>7839.245076923075</v>
      </c>
      <c r="AE370" s="16">
        <f>IF(OR(AD370="",H370=""),"",H370*AD370)</f>
        <v/>
      </c>
    </row>
    <row r="371">
      <c r="A371" s="7" t="inlineStr">
        <is>
          <t>2022-12-31</t>
        </is>
      </c>
      <c r="B371" s="7" t="n">
        <v>1892</v>
      </c>
      <c r="C371" s="8" t="inlineStr">
        <is>
          <t>BambooCraft UC-11</t>
        </is>
      </c>
      <c r="D371" s="8" t="inlineStr">
        <is>
          <t>Streetwear</t>
        </is>
      </c>
      <c r="E371" s="7" t="inlineStr">
        <is>
          <t>Everyday</t>
        </is>
      </c>
      <c r="F371" s="7" t="inlineStr">
        <is>
          <t>S</t>
        </is>
      </c>
      <c r="G371" s="7" t="inlineStr">
        <is>
          <t>orange</t>
        </is>
      </c>
      <c r="H371" s="9" t="n">
        <v>84</v>
      </c>
      <c r="I371" s="9" t="n">
        <v>1</v>
      </c>
      <c r="J371" s="10" t="n">
        <v>1.666666666666667</v>
      </c>
      <c r="K371" s="10">
        <f>IFERROR(J371/30,0)</f>
        <v/>
      </c>
      <c r="L371" s="9" t="n">
        <v>0</v>
      </c>
      <c r="M371" s="11" t="n">
        <v>1</v>
      </c>
      <c r="N371" s="9" t="n">
        <v>0</v>
      </c>
      <c r="O371" s="9" t="n">
        <v>1</v>
      </c>
      <c r="P371" s="9" t="n">
        <v>0</v>
      </c>
      <c r="Q371" s="12" t="n">
        <v>0</v>
      </c>
      <c r="R371" s="12" t="n">
        <v>0</v>
      </c>
      <c r="S371" s="9">
        <f>H371+Q371-R371</f>
        <v/>
      </c>
      <c r="T371" s="12" t="n">
        <v>14</v>
      </c>
      <c r="U371" s="12" t="n">
        <v>7</v>
      </c>
      <c r="V371" s="12" t="n">
        <v>7</v>
      </c>
      <c r="W371" s="10">
        <f>K371*(T371+U371)</f>
        <v/>
      </c>
      <c r="X371" s="10">
        <f>K371*(T371+U371+V371)</f>
        <v/>
      </c>
      <c r="Y371" s="10">
        <f>IF(K371&gt;0,H371/K371,99999)</f>
        <v/>
      </c>
      <c r="Z371" s="8">
        <f>IF(AND(OR(L371&gt;=1,M371&lt;0.95),Y371&gt;120),"DATA CONFLICT - VERIFY",IF(OR(L371&gt;=1,M371&lt;0.95,Y371&lt;=14),"SERVICE / STOCKOUT REVIEW",IF(Y371&gt;120,"OVERSTOCK REVIEW",IF(S371&lt;=W371,"REPLENISHMENT REVIEW","NORMAL MONITORING"))))</f>
        <v/>
      </c>
      <c r="AA371" s="9">
        <f>IF(OR(Z371="DATA CONFLICT - VERIFY",Z371="SERVICE / STOCKOUT REVIEW"),0,IF(S371&lt;=W371,MAX(0,ROUNDUP(X371-S371,0)),0))</f>
        <v/>
      </c>
      <c r="AB371" s="8">
        <f>IF(Z371="DATA CONFLICT - VERIFY","P1 - DATA CONFLICT",IF(Z371="SERVICE / STOCKOUT REVIEW","P1 - SERVICE",IF(Z371="OVERSTOCK REVIEW","P2 - OVERSTOCK",IF(Z371="REPLENISHMENT REVIEW","P2 - REPLENISH","P3 - MONITOR"))))</f>
        <v/>
      </c>
      <c r="AC371" s="10" t="n">
        <v>10488.37158227848</v>
      </c>
      <c r="AD371" s="10" t="n">
        <v>9963.953003164555</v>
      </c>
      <c r="AE371" s="10">
        <f>IF(OR(AD371="",H371=""),"",H371*AD371)</f>
        <v/>
      </c>
    </row>
    <row r="372">
      <c r="A372" s="13" t="inlineStr">
        <is>
          <t>2022-12-31</t>
        </is>
      </c>
      <c r="B372" s="13" t="n">
        <v>1896</v>
      </c>
      <c r="C372" s="14" t="inlineStr">
        <is>
          <t>BambooCraft UC-15</t>
        </is>
      </c>
      <c r="D372" s="14" t="inlineStr">
        <is>
          <t>Streetwear</t>
        </is>
      </c>
      <c r="E372" s="13" t="inlineStr">
        <is>
          <t>Everyday</t>
        </is>
      </c>
      <c r="F372" s="13" t="inlineStr">
        <is>
          <t>S</t>
        </is>
      </c>
      <c r="G372" s="13" t="inlineStr">
        <is>
          <t>green</t>
        </is>
      </c>
      <c r="H372" s="15" t="n">
        <v>27</v>
      </c>
      <c r="I372" s="15" t="n">
        <v>1</v>
      </c>
      <c r="J372" s="16" t="n">
        <v>2</v>
      </c>
      <c r="K372" s="16">
        <f>IFERROR(J372/30,0)</f>
        <v/>
      </c>
      <c r="L372" s="15" t="n">
        <v>0</v>
      </c>
      <c r="M372" s="17" t="n">
        <v>1</v>
      </c>
      <c r="N372" s="15" t="n">
        <v>0</v>
      </c>
      <c r="O372" s="15" t="n">
        <v>1</v>
      </c>
      <c r="P372" s="15" t="n">
        <v>0</v>
      </c>
      <c r="Q372" s="12" t="n">
        <v>0</v>
      </c>
      <c r="R372" s="12" t="n">
        <v>0</v>
      </c>
      <c r="S372" s="15">
        <f>H372+Q372-R372</f>
        <v/>
      </c>
      <c r="T372" s="12" t="n">
        <v>14</v>
      </c>
      <c r="U372" s="12" t="n">
        <v>7</v>
      </c>
      <c r="V372" s="12" t="n">
        <v>7</v>
      </c>
      <c r="W372" s="16">
        <f>K372*(T372+U372)</f>
        <v/>
      </c>
      <c r="X372" s="16">
        <f>K372*(T372+U372+V372)</f>
        <v/>
      </c>
      <c r="Y372" s="16">
        <f>IF(K372&gt;0,H372/K372,99999)</f>
        <v/>
      </c>
      <c r="Z372" s="14">
        <f>IF(AND(OR(L372&gt;=1,M372&lt;0.95),Y372&gt;120),"DATA CONFLICT - VERIFY",IF(OR(L372&gt;=1,M372&lt;0.95,Y372&lt;=14),"SERVICE / STOCKOUT REVIEW",IF(Y372&gt;120,"OVERSTOCK REVIEW",IF(S372&lt;=W372,"REPLENISHMENT REVIEW","NORMAL MONITORING"))))</f>
        <v/>
      </c>
      <c r="AA372" s="15">
        <f>IF(OR(Z372="DATA CONFLICT - VERIFY",Z372="SERVICE / STOCKOUT REVIEW"),0,IF(S372&lt;=W372,MAX(0,ROUNDUP(X372-S372,0)),0))</f>
        <v/>
      </c>
      <c r="AB372" s="14">
        <f>IF(Z372="DATA CONFLICT - VERIFY","P1 - DATA CONFLICT",IF(Z372="SERVICE / STOCKOUT REVIEW","P1 - SERVICE",IF(Z372="OVERSTOCK REVIEW","P2 - OVERSTOCK",IF(Z372="REPLENISHMENT REVIEW","P2 - REPLENISH","P3 - MONITOR"))))</f>
        <v/>
      </c>
      <c r="AC372" s="16" t="n">
        <v>8833.758888888889</v>
      </c>
      <c r="AD372" s="16" t="n">
        <v>7271.950317333333</v>
      </c>
      <c r="AE372" s="16">
        <f>IF(OR(AD372="",H372=""),"",H372*AD372)</f>
        <v/>
      </c>
    </row>
    <row r="373">
      <c r="A373" s="7" t="inlineStr">
        <is>
          <t>2022-12-31</t>
        </is>
      </c>
      <c r="B373" s="7" t="n">
        <v>1901</v>
      </c>
      <c r="C373" s="8" t="inlineStr">
        <is>
          <t>BambooCraft UC-20</t>
        </is>
      </c>
      <c r="D373" s="8" t="inlineStr">
        <is>
          <t>Streetwear</t>
        </is>
      </c>
      <c r="E373" s="7" t="inlineStr">
        <is>
          <t>Everyday</t>
        </is>
      </c>
      <c r="F373" s="7" t="inlineStr">
        <is>
          <t>M</t>
        </is>
      </c>
      <c r="G373" s="7" t="inlineStr">
        <is>
          <t>black</t>
        </is>
      </c>
      <c r="H373" s="9" t="n">
        <v>3</v>
      </c>
      <c r="I373" s="9" t="n">
        <v>1</v>
      </c>
      <c r="J373" s="10" t="n">
        <v>2.333333333333333</v>
      </c>
      <c r="K373" s="10">
        <f>IFERROR(J373/30,0)</f>
        <v/>
      </c>
      <c r="L373" s="9" t="n">
        <v>2</v>
      </c>
      <c r="M373" s="11" t="n">
        <v>0.9333</v>
      </c>
      <c r="N373" s="9" t="n">
        <v>1</v>
      </c>
      <c r="O373" s="9" t="n">
        <v>0</v>
      </c>
      <c r="P373" s="9" t="n">
        <v>0</v>
      </c>
      <c r="Q373" s="12" t="n">
        <v>0</v>
      </c>
      <c r="R373" s="12" t="n">
        <v>0</v>
      </c>
      <c r="S373" s="9">
        <f>H373+Q373-R373</f>
        <v/>
      </c>
      <c r="T373" s="12" t="n">
        <v>14</v>
      </c>
      <c r="U373" s="12" t="n">
        <v>7</v>
      </c>
      <c r="V373" s="12" t="n">
        <v>7</v>
      </c>
      <c r="W373" s="10">
        <f>K373*(T373+U373)</f>
        <v/>
      </c>
      <c r="X373" s="10">
        <f>K373*(T373+U373+V373)</f>
        <v/>
      </c>
      <c r="Y373" s="10">
        <f>IF(K373&gt;0,H373/K373,99999)</f>
        <v/>
      </c>
      <c r="Z373" s="8">
        <f>IF(AND(OR(L373&gt;=1,M373&lt;0.95),Y373&gt;120),"DATA CONFLICT - VERIFY",IF(OR(L373&gt;=1,M373&lt;0.95,Y373&lt;=14),"SERVICE / STOCKOUT REVIEW",IF(Y373&gt;120,"OVERSTOCK REVIEW",IF(S373&lt;=W373,"REPLENISHMENT REVIEW","NORMAL MONITORING"))))</f>
        <v/>
      </c>
      <c r="AA373" s="9">
        <f>IF(OR(Z373="DATA CONFLICT - VERIFY",Z373="SERVICE / STOCKOUT REVIEW"),0,IF(S373&lt;=W373,MAX(0,ROUNDUP(X373-S373,0)),0))</f>
        <v/>
      </c>
      <c r="AB373" s="8">
        <f>IF(Z373="DATA CONFLICT - VERIFY","P1 - DATA CONFLICT",IF(Z373="SERVICE / STOCKOUT REVIEW","P1 - SERVICE",IF(Z373="OVERSTOCK REVIEW","P2 - OVERSTOCK",IF(Z373="REPLENISHMENT REVIEW","P2 - REPLENISH","P3 - MONITOR"))))</f>
        <v/>
      </c>
      <c r="AC373" s="10" t="n">
        <v>9899.932500000001</v>
      </c>
      <c r="AD373" s="10" t="n">
        <v>9404.935874999999</v>
      </c>
      <c r="AE373" s="10">
        <f>IF(OR(AD373="",H373=""),"",H373*AD373)</f>
        <v/>
      </c>
    </row>
    <row r="374">
      <c r="A374" s="13" t="inlineStr">
        <is>
          <t>2022-12-31</t>
        </is>
      </c>
      <c r="B374" s="13" t="n">
        <v>1906</v>
      </c>
      <c r="C374" s="14" t="inlineStr">
        <is>
          <t>BambooCraft UC-25</t>
        </is>
      </c>
      <c r="D374" s="14" t="inlineStr">
        <is>
          <t>Streetwear</t>
        </is>
      </c>
      <c r="E374" s="13" t="inlineStr">
        <is>
          <t>Everyday</t>
        </is>
      </c>
      <c r="F374" s="13" t="inlineStr">
        <is>
          <t>L</t>
        </is>
      </c>
      <c r="G374" s="13" t="inlineStr">
        <is>
          <t>green</t>
        </is>
      </c>
      <c r="H374" s="15" t="n">
        <v>19</v>
      </c>
      <c r="I374" s="15" t="n">
        <v>3</v>
      </c>
      <c r="J374" s="16" t="n">
        <v>3.333333333333333</v>
      </c>
      <c r="K374" s="16">
        <f>IFERROR(J374/30,0)</f>
        <v/>
      </c>
      <c r="L374" s="15" t="n">
        <v>1</v>
      </c>
      <c r="M374" s="17" t="n">
        <v>0.9667</v>
      </c>
      <c r="N374" s="15" t="n">
        <v>1</v>
      </c>
      <c r="O374" s="15" t="n">
        <v>1</v>
      </c>
      <c r="P374" s="15" t="n">
        <v>0</v>
      </c>
      <c r="Q374" s="12" t="n">
        <v>0</v>
      </c>
      <c r="R374" s="12" t="n">
        <v>0</v>
      </c>
      <c r="S374" s="15">
        <f>H374+Q374-R374</f>
        <v/>
      </c>
      <c r="T374" s="12" t="n">
        <v>14</v>
      </c>
      <c r="U374" s="12" t="n">
        <v>7</v>
      </c>
      <c r="V374" s="12" t="n">
        <v>7</v>
      </c>
      <c r="W374" s="16">
        <f>K374*(T374+U374)</f>
        <v/>
      </c>
      <c r="X374" s="16">
        <f>K374*(T374+U374+V374)</f>
        <v/>
      </c>
      <c r="Y374" s="16">
        <f>IF(K374&gt;0,H374/K374,99999)</f>
        <v/>
      </c>
      <c r="Z374" s="14">
        <f>IF(AND(OR(L374&gt;=1,M374&lt;0.95),Y374&gt;120),"DATA CONFLICT - VERIFY",IF(OR(L374&gt;=1,M374&lt;0.95,Y374&lt;=14),"SERVICE / STOCKOUT REVIEW",IF(Y374&gt;120,"OVERSTOCK REVIEW",IF(S374&lt;=W374,"REPLENISHMENT REVIEW","NORMAL MONITORING"))))</f>
        <v/>
      </c>
      <c r="AA374" s="15">
        <f>IF(OR(Z374="DATA CONFLICT - VERIFY",Z374="SERVICE / STOCKOUT REVIEW"),0,IF(S374&lt;=W374,MAX(0,ROUNDUP(X374-S374,0)),0))</f>
        <v/>
      </c>
      <c r="AB374" s="14">
        <f>IF(Z374="DATA CONFLICT - VERIFY","P1 - DATA CONFLICT",IF(Z374="SERVICE / STOCKOUT REVIEW","P1 - SERVICE",IF(Z374="OVERSTOCK REVIEW","P2 - OVERSTOCK",IF(Z374="REPLENISHMENT REVIEW","P2 - REPLENISH","P3 - MONITOR"))))</f>
        <v/>
      </c>
      <c r="AC374" s="16" t="n">
        <v>8808.870000000001</v>
      </c>
      <c r="AD374" s="16" t="n">
        <v>7972.027350000001</v>
      </c>
      <c r="AE374" s="16">
        <f>IF(OR(AD374="",H374=""),"",H374*AD374)</f>
        <v/>
      </c>
    </row>
    <row r="375">
      <c r="A375" s="7" t="inlineStr">
        <is>
          <t>2022-12-31</t>
        </is>
      </c>
      <c r="B375" s="7" t="n">
        <v>1995</v>
      </c>
      <c r="C375" s="8" t="inlineStr">
        <is>
          <t>UrbanVN UM-02</t>
        </is>
      </c>
      <c r="D375" s="8" t="inlineStr">
        <is>
          <t>Streetwear</t>
        </is>
      </c>
      <c r="E375" s="7" t="inlineStr">
        <is>
          <t>Balanced</t>
        </is>
      </c>
      <c r="F375" s="7" t="inlineStr">
        <is>
          <t>XL</t>
        </is>
      </c>
      <c r="G375" s="7" t="inlineStr">
        <is>
          <t>purple</t>
        </is>
      </c>
      <c r="H375" s="9" t="n">
        <v>357</v>
      </c>
      <c r="I375" s="9" t="n">
        <v>6</v>
      </c>
      <c r="J375" s="10" t="n">
        <v>4.333333333333333</v>
      </c>
      <c r="K375" s="10">
        <f>IFERROR(J375/30,0)</f>
        <v/>
      </c>
      <c r="L375" s="9" t="n">
        <v>0</v>
      </c>
      <c r="M375" s="11" t="n">
        <v>1</v>
      </c>
      <c r="N375" s="9" t="n">
        <v>0</v>
      </c>
      <c r="O375" s="9" t="n">
        <v>1</v>
      </c>
      <c r="P375" s="9" t="n">
        <v>0</v>
      </c>
      <c r="Q375" s="12" t="n">
        <v>0</v>
      </c>
      <c r="R375" s="12" t="n">
        <v>0</v>
      </c>
      <c r="S375" s="9">
        <f>H375+Q375-R375</f>
        <v/>
      </c>
      <c r="T375" s="12" t="n">
        <v>14</v>
      </c>
      <c r="U375" s="12" t="n">
        <v>7</v>
      </c>
      <c r="V375" s="12" t="n">
        <v>7</v>
      </c>
      <c r="W375" s="10">
        <f>K375*(T375+U375)</f>
        <v/>
      </c>
      <c r="X375" s="10">
        <f>K375*(T375+U375+V375)</f>
        <v/>
      </c>
      <c r="Y375" s="10">
        <f>IF(K375&gt;0,H375/K375,99999)</f>
        <v/>
      </c>
      <c r="Z375" s="8">
        <f>IF(AND(OR(L375&gt;=1,M375&lt;0.95),Y375&gt;120),"DATA CONFLICT - VERIFY",IF(OR(L375&gt;=1,M375&lt;0.95,Y375&lt;=14),"SERVICE / STOCKOUT REVIEW",IF(Y375&gt;120,"OVERSTOCK REVIEW",IF(S375&lt;=W375,"REPLENISHMENT REVIEW","NORMAL MONITORING"))))</f>
        <v/>
      </c>
      <c r="AA375" s="9">
        <f>IF(OR(Z375="DATA CONFLICT - VERIFY",Z375="SERVICE / STOCKOUT REVIEW"),0,IF(S375&lt;=W375,MAX(0,ROUNDUP(X375-S375,0)),0))</f>
        <v/>
      </c>
      <c r="AB375" s="8">
        <f>IF(Z375="DATA CONFLICT - VERIFY","P1 - DATA CONFLICT",IF(Z375="SERVICE / STOCKOUT REVIEW","P1 - SERVICE",IF(Z375="OVERSTOCK REVIEW","P2 - OVERSTOCK",IF(Z375="REPLENISHMENT REVIEW","P2 - REPLENISH","P3 - MONITOR"))))</f>
        <v/>
      </c>
      <c r="AC375" s="10" t="n">
        <v>5159.312850739579</v>
      </c>
      <c r="AD375" s="10" t="n">
        <v>3025.421055673689</v>
      </c>
      <c r="AE375" s="10">
        <f>IF(OR(AD375="",H375=""),"",H375*AD375)</f>
        <v/>
      </c>
    </row>
    <row r="376">
      <c r="A376" s="13" t="inlineStr">
        <is>
          <t>2022-12-31</t>
        </is>
      </c>
      <c r="B376" s="13" t="n">
        <v>2036</v>
      </c>
      <c r="C376" s="14" t="inlineStr">
        <is>
          <t>UrbanVN UR-39</t>
        </is>
      </c>
      <c r="D376" s="14" t="inlineStr">
        <is>
          <t>Streetwear</t>
        </is>
      </c>
      <c r="E376" s="13" t="inlineStr">
        <is>
          <t>Standard</t>
        </is>
      </c>
      <c r="F376" s="13" t="inlineStr">
        <is>
          <t>S</t>
        </is>
      </c>
      <c r="G376" s="13" t="inlineStr">
        <is>
          <t>green</t>
        </is>
      </c>
      <c r="H376" s="15" t="n">
        <v>42</v>
      </c>
      <c r="I376" s="15" t="n">
        <v>17</v>
      </c>
      <c r="J376" s="16" t="n">
        <v>7.666666666666667</v>
      </c>
      <c r="K376" s="16">
        <f>IFERROR(J376/30,0)</f>
        <v/>
      </c>
      <c r="L376" s="15" t="n">
        <v>2</v>
      </c>
      <c r="M376" s="17" t="n">
        <v>0.9333</v>
      </c>
      <c r="N376" s="15" t="n">
        <v>1</v>
      </c>
      <c r="O376" s="15" t="n">
        <v>0</v>
      </c>
      <c r="P376" s="15" t="n">
        <v>0</v>
      </c>
      <c r="Q376" s="12" t="n">
        <v>0</v>
      </c>
      <c r="R376" s="12" t="n">
        <v>0</v>
      </c>
      <c r="S376" s="15">
        <f>H376+Q376-R376</f>
        <v/>
      </c>
      <c r="T376" s="12" t="n">
        <v>14</v>
      </c>
      <c r="U376" s="12" t="n">
        <v>7</v>
      </c>
      <c r="V376" s="12" t="n">
        <v>7</v>
      </c>
      <c r="W376" s="16">
        <f>K376*(T376+U376)</f>
        <v/>
      </c>
      <c r="X376" s="16">
        <f>K376*(T376+U376+V376)</f>
        <v/>
      </c>
      <c r="Y376" s="16">
        <f>IF(K376&gt;0,H376/K376,99999)</f>
        <v/>
      </c>
      <c r="Z376" s="14">
        <f>IF(AND(OR(L376&gt;=1,M376&lt;0.95),Y376&gt;120),"DATA CONFLICT - VERIFY",IF(OR(L376&gt;=1,M376&lt;0.95,Y376&lt;=14),"SERVICE / STOCKOUT REVIEW",IF(Y376&gt;120,"OVERSTOCK REVIEW",IF(S376&lt;=W376,"REPLENISHMENT REVIEW","NORMAL MONITORING"))))</f>
        <v/>
      </c>
      <c r="AA376" s="15">
        <f>IF(OR(Z376="DATA CONFLICT - VERIFY",Z376="SERVICE / STOCKOUT REVIEW"),0,IF(S376&lt;=W376,MAX(0,ROUNDUP(X376-S376,0)),0))</f>
        <v/>
      </c>
      <c r="AB376" s="14">
        <f>IF(Z376="DATA CONFLICT - VERIFY","P1 - DATA CONFLICT",IF(Z376="SERVICE / STOCKOUT REVIEW","P1 - SERVICE",IF(Z376="OVERSTOCK REVIEW","P2 - OVERSTOCK",IF(Z376="REPLENISHMENT REVIEW","P2 - REPLENISH","P3 - MONITOR"))))</f>
        <v/>
      </c>
      <c r="AC376" s="16" t="n">
        <v>2521.250597014925</v>
      </c>
      <c r="AD376" s="16" t="n">
        <v>2395.18806716418</v>
      </c>
      <c r="AE376" s="16">
        <f>IF(OR(AD376="",H376=""),"",H376*AD376)</f>
        <v/>
      </c>
    </row>
    <row r="377">
      <c r="A377" s="7" t="inlineStr">
        <is>
          <t>2022-12-31</t>
        </is>
      </c>
      <c r="B377" s="7" t="n">
        <v>2042</v>
      </c>
      <c r="C377" s="8" t="inlineStr">
        <is>
          <t>UrbanVN UE-02</t>
        </is>
      </c>
      <c r="D377" s="8" t="inlineStr">
        <is>
          <t>Streetwear</t>
        </is>
      </c>
      <c r="E377" s="7" t="inlineStr">
        <is>
          <t>Performance</t>
        </is>
      </c>
      <c r="F377" s="7" t="inlineStr">
        <is>
          <t>L</t>
        </is>
      </c>
      <c r="G377" s="7" t="inlineStr">
        <is>
          <t>orange</t>
        </is>
      </c>
      <c r="H377" s="9" t="n">
        <v>15</v>
      </c>
      <c r="I377" s="9" t="n">
        <v>1</v>
      </c>
      <c r="J377" s="10" t="n">
        <v>1.333333333333333</v>
      </c>
      <c r="K377" s="10">
        <f>IFERROR(J377/30,0)</f>
        <v/>
      </c>
      <c r="L377" s="9" t="n">
        <v>2</v>
      </c>
      <c r="M377" s="11" t="n">
        <v>0.9333</v>
      </c>
      <c r="N377" s="9" t="n">
        <v>1</v>
      </c>
      <c r="O377" s="9" t="n">
        <v>1</v>
      </c>
      <c r="P377" s="9" t="n">
        <v>0</v>
      </c>
      <c r="Q377" s="12" t="n">
        <v>0</v>
      </c>
      <c r="R377" s="12" t="n">
        <v>0</v>
      </c>
      <c r="S377" s="9">
        <f>H377+Q377-R377</f>
        <v/>
      </c>
      <c r="T377" s="12" t="n">
        <v>14</v>
      </c>
      <c r="U377" s="12" t="n">
        <v>7</v>
      </c>
      <c r="V377" s="12" t="n">
        <v>7</v>
      </c>
      <c r="W377" s="10">
        <f>K377*(T377+U377)</f>
        <v/>
      </c>
      <c r="X377" s="10">
        <f>K377*(T377+U377+V377)</f>
        <v/>
      </c>
      <c r="Y377" s="10">
        <f>IF(K377&gt;0,H377/K377,99999)</f>
        <v/>
      </c>
      <c r="Z377" s="8">
        <f>IF(AND(OR(L377&gt;=1,M377&lt;0.95),Y377&gt;120),"DATA CONFLICT - VERIFY",IF(OR(L377&gt;=1,M377&lt;0.95,Y377&lt;=14),"SERVICE / STOCKOUT REVIEW",IF(Y377&gt;120,"OVERSTOCK REVIEW",IF(S377&lt;=W377,"REPLENISHMENT REVIEW","NORMAL MONITORING"))))</f>
        <v/>
      </c>
      <c r="AA377" s="9">
        <f>IF(OR(Z377="DATA CONFLICT - VERIFY",Z377="SERVICE / STOCKOUT REVIEW"),0,IF(S377&lt;=W377,MAX(0,ROUNDUP(X377-S377,0)),0))</f>
        <v/>
      </c>
      <c r="AB377" s="8">
        <f>IF(Z377="DATA CONFLICT - VERIFY","P1 - DATA CONFLICT",IF(Z377="SERVICE / STOCKOUT REVIEW","P1 - SERVICE",IF(Z377="OVERSTOCK REVIEW","P2 - OVERSTOCK",IF(Z377="REPLENISHMENT REVIEW","P2 - REPLENISH","P3 - MONITOR"))))</f>
        <v/>
      </c>
      <c r="AC377" s="10" t="n">
        <v>7307.37</v>
      </c>
      <c r="AD377" s="10" t="n">
        <v>5269.344507</v>
      </c>
      <c r="AE377" s="10">
        <f>IF(OR(AD377="",H377=""),"",H377*AD377)</f>
        <v/>
      </c>
    </row>
    <row r="378">
      <c r="A378" s="13" t="inlineStr">
        <is>
          <t>2022-12-31</t>
        </is>
      </c>
      <c r="B378" s="13" t="n">
        <v>2051</v>
      </c>
      <c r="C378" s="14" t="inlineStr">
        <is>
          <t>UrbanVN UE-11</t>
        </is>
      </c>
      <c r="D378" s="14" t="inlineStr">
        <is>
          <t>Streetwear</t>
        </is>
      </c>
      <c r="E378" s="13" t="inlineStr">
        <is>
          <t>Performance</t>
        </is>
      </c>
      <c r="F378" s="13" t="inlineStr">
        <is>
          <t>XL</t>
        </is>
      </c>
      <c r="G378" s="13" t="inlineStr">
        <is>
          <t>black</t>
        </is>
      </c>
      <c r="H378" s="15" t="n">
        <v>30</v>
      </c>
      <c r="I378" s="15" t="n">
        <v>1</v>
      </c>
      <c r="J378" s="16" t="n">
        <v>1</v>
      </c>
      <c r="K378" s="16">
        <f>IFERROR(J378/30,0)</f>
        <v/>
      </c>
      <c r="L378" s="15" t="n">
        <v>0</v>
      </c>
      <c r="M378" s="17" t="n">
        <v>1</v>
      </c>
      <c r="N378" s="15" t="n">
        <v>0</v>
      </c>
      <c r="O378" s="15" t="n">
        <v>1</v>
      </c>
      <c r="P378" s="15" t="n">
        <v>0</v>
      </c>
      <c r="Q378" s="12" t="n">
        <v>0</v>
      </c>
      <c r="R378" s="12" t="n">
        <v>0</v>
      </c>
      <c r="S378" s="15">
        <f>H378+Q378-R378</f>
        <v/>
      </c>
      <c r="T378" s="12" t="n">
        <v>14</v>
      </c>
      <c r="U378" s="12" t="n">
        <v>7</v>
      </c>
      <c r="V378" s="12" t="n">
        <v>7</v>
      </c>
      <c r="W378" s="16">
        <f>K378*(T378+U378)</f>
        <v/>
      </c>
      <c r="X378" s="16">
        <f>K378*(T378+U378+V378)</f>
        <v/>
      </c>
      <c r="Y378" s="16">
        <f>IF(K378&gt;0,H378/K378,99999)</f>
        <v/>
      </c>
      <c r="Z378" s="14">
        <f>IF(AND(OR(L378&gt;=1,M378&lt;0.95),Y378&gt;120),"DATA CONFLICT - VERIFY",IF(OR(L378&gt;=1,M378&lt;0.95,Y378&lt;=14),"SERVICE / STOCKOUT REVIEW",IF(Y378&gt;120,"OVERSTOCK REVIEW",IF(S378&lt;=W378,"REPLENISHMENT REVIEW","NORMAL MONITORING"))))</f>
        <v/>
      </c>
      <c r="AA378" s="15">
        <f>IF(OR(Z378="DATA CONFLICT - VERIFY",Z378="SERVICE / STOCKOUT REVIEW"),0,IF(S378&lt;=W378,MAX(0,ROUNDUP(X378-S378,0)),0))</f>
        <v/>
      </c>
      <c r="AB378" s="14">
        <f>IF(Z378="DATA CONFLICT - VERIFY","P1 - DATA CONFLICT",IF(Z378="SERVICE / STOCKOUT REVIEW","P1 - SERVICE",IF(Z378="OVERSTOCK REVIEW","P2 - OVERSTOCK",IF(Z378="REPLENISHMENT REVIEW","P2 - REPLENISH","P3 - MONITOR"))))</f>
        <v/>
      </c>
      <c r="AC378" s="16" t="n">
        <v>9008.370000000001</v>
      </c>
      <c r="AD378" s="16" t="n">
        <v>6208.568604000001</v>
      </c>
      <c r="AE378" s="16">
        <f>IF(OR(AD378="",H378=""),"",H378*AD378)</f>
        <v/>
      </c>
    </row>
    <row r="379">
      <c r="A379" s="7" t="inlineStr">
        <is>
          <t>2022-12-31</t>
        </is>
      </c>
      <c r="B379" s="7" t="n">
        <v>2054</v>
      </c>
      <c r="C379" s="8" t="inlineStr">
        <is>
          <t>UrbanVN UE-14</t>
        </is>
      </c>
      <c r="D379" s="8" t="inlineStr">
        <is>
          <t>Streetwear</t>
        </is>
      </c>
      <c r="E379" s="7" t="inlineStr">
        <is>
          <t>Performance</t>
        </is>
      </c>
      <c r="F379" s="7" t="inlineStr">
        <is>
          <t>L</t>
        </is>
      </c>
      <c r="G379" s="7" t="inlineStr">
        <is>
          <t>white</t>
        </is>
      </c>
      <c r="H379" s="9" t="n">
        <v>1600</v>
      </c>
      <c r="I379" s="9" t="n">
        <v>9</v>
      </c>
      <c r="J379" s="10" t="n">
        <v>6.333333333333333</v>
      </c>
      <c r="K379" s="10">
        <f>IFERROR(J379/30,0)</f>
        <v/>
      </c>
      <c r="L379" s="9" t="n">
        <v>1</v>
      </c>
      <c r="M379" s="11" t="n">
        <v>0.9667</v>
      </c>
      <c r="N379" s="9" t="n">
        <v>1</v>
      </c>
      <c r="O379" s="9" t="n">
        <v>1</v>
      </c>
      <c r="P379" s="9" t="n">
        <v>0</v>
      </c>
      <c r="Q379" s="12" t="n">
        <v>0</v>
      </c>
      <c r="R379" s="12" t="n">
        <v>0</v>
      </c>
      <c r="S379" s="9">
        <f>H379+Q379-R379</f>
        <v/>
      </c>
      <c r="T379" s="12" t="n">
        <v>14</v>
      </c>
      <c r="U379" s="12" t="n">
        <v>7</v>
      </c>
      <c r="V379" s="12" t="n">
        <v>7</v>
      </c>
      <c r="W379" s="10">
        <f>K379*(T379+U379)</f>
        <v/>
      </c>
      <c r="X379" s="10">
        <f>K379*(T379+U379+V379)</f>
        <v/>
      </c>
      <c r="Y379" s="10">
        <f>IF(K379&gt;0,H379/K379,99999)</f>
        <v/>
      </c>
      <c r="Z379" s="8">
        <f>IF(AND(OR(L379&gt;=1,M379&lt;0.95),Y379&gt;120),"DATA CONFLICT - VERIFY",IF(OR(L379&gt;=1,M379&lt;0.95,Y379&lt;=14),"SERVICE / STOCKOUT REVIEW",IF(Y379&gt;120,"OVERSTOCK REVIEW",IF(S379&lt;=W379,"REPLENISHMENT REVIEW","NORMAL MONITORING"))))</f>
        <v/>
      </c>
      <c r="AA379" s="9">
        <f>IF(OR(Z379="DATA CONFLICT - VERIFY",Z379="SERVICE / STOCKOUT REVIEW"),0,IF(S379&lt;=W379,MAX(0,ROUNDUP(X379-S379,0)),0))</f>
        <v/>
      </c>
      <c r="AB379" s="8">
        <f>IF(Z379="DATA CONFLICT - VERIFY","P1 - DATA CONFLICT",IF(Z379="SERVICE / STOCKOUT REVIEW","P1 - SERVICE",IF(Z379="OVERSTOCK REVIEW","P2 - OVERSTOCK",IF(Z379="REPLENISHMENT REVIEW","P2 - REPLENISH","P3 - MONITOR"))))</f>
        <v/>
      </c>
      <c r="AC379" s="10" t="n">
        <v>7071.601572481572</v>
      </c>
      <c r="AD379" s="10" t="n">
        <v>6718.021493857494</v>
      </c>
      <c r="AE379" s="10">
        <f>IF(OR(AD379="",H379=""),"",H379*AD379)</f>
        <v/>
      </c>
    </row>
    <row r="380">
      <c r="A380" s="13" t="inlineStr">
        <is>
          <t>2022-12-31</t>
        </is>
      </c>
      <c r="B380" s="13" t="n">
        <v>2055</v>
      </c>
      <c r="C380" s="14" t="inlineStr">
        <is>
          <t>UrbanVN UE-15</t>
        </is>
      </c>
      <c r="D380" s="14" t="inlineStr">
        <is>
          <t>Streetwear</t>
        </is>
      </c>
      <c r="E380" s="13" t="inlineStr">
        <is>
          <t>Performance</t>
        </is>
      </c>
      <c r="F380" s="13" t="inlineStr">
        <is>
          <t>XL</t>
        </is>
      </c>
      <c r="G380" s="13" t="inlineStr">
        <is>
          <t>purple</t>
        </is>
      </c>
      <c r="H380" s="15" t="n">
        <v>1256</v>
      </c>
      <c r="I380" s="15" t="n">
        <v>3</v>
      </c>
      <c r="J380" s="16" t="n">
        <v>5</v>
      </c>
      <c r="K380" s="16">
        <f>IFERROR(J380/30,0)</f>
        <v/>
      </c>
      <c r="L380" s="15" t="n">
        <v>1</v>
      </c>
      <c r="M380" s="17" t="n">
        <v>0.9667</v>
      </c>
      <c r="N380" s="15" t="n">
        <v>1</v>
      </c>
      <c r="O380" s="15" t="n">
        <v>1</v>
      </c>
      <c r="P380" s="15" t="n">
        <v>0</v>
      </c>
      <c r="Q380" s="12" t="n">
        <v>0</v>
      </c>
      <c r="R380" s="12" t="n">
        <v>0</v>
      </c>
      <c r="S380" s="15">
        <f>H380+Q380-R380</f>
        <v/>
      </c>
      <c r="T380" s="12" t="n">
        <v>14</v>
      </c>
      <c r="U380" s="12" t="n">
        <v>7</v>
      </c>
      <c r="V380" s="12" t="n">
        <v>7</v>
      </c>
      <c r="W380" s="16">
        <f>K380*(T380+U380)</f>
        <v/>
      </c>
      <c r="X380" s="16">
        <f>K380*(T380+U380+V380)</f>
        <v/>
      </c>
      <c r="Y380" s="16">
        <f>IF(K380&gt;0,H380/K380,99999)</f>
        <v/>
      </c>
      <c r="Z380" s="14">
        <f>IF(AND(OR(L380&gt;=1,M380&lt;0.95),Y380&gt;120),"DATA CONFLICT - VERIFY",IF(OR(L380&gt;=1,M380&lt;0.95,Y380&lt;=14),"SERVICE / STOCKOUT REVIEW",IF(Y380&gt;120,"OVERSTOCK REVIEW",IF(S380&lt;=W380,"REPLENISHMENT REVIEW","NORMAL MONITORING"))))</f>
        <v/>
      </c>
      <c r="AA380" s="15">
        <f>IF(OR(Z380="DATA CONFLICT - VERIFY",Z380="SERVICE / STOCKOUT REVIEW"),0,IF(S380&lt;=W380,MAX(0,ROUNDUP(X380-S380,0)),0))</f>
        <v/>
      </c>
      <c r="AB380" s="14">
        <f>IF(Z380="DATA CONFLICT - VERIFY","P1 - DATA CONFLICT",IF(Z380="SERVICE / STOCKOUT REVIEW","P1 - SERVICE",IF(Z380="OVERSTOCK REVIEW","P2 - OVERSTOCK",IF(Z380="REPLENISHMENT REVIEW","P2 - REPLENISH","P3 - MONITOR"))))</f>
        <v/>
      </c>
      <c r="AC380" s="16" t="n">
        <v>7240.102907348243</v>
      </c>
      <c r="AD380" s="16" t="n">
        <v>6878.097761980831</v>
      </c>
      <c r="AE380" s="16">
        <f>IF(OR(AD380="",H380=""),"",H380*AD380)</f>
        <v/>
      </c>
    </row>
    <row r="381">
      <c r="A381" s="7" t="inlineStr">
        <is>
          <t>2022-12-31</t>
        </is>
      </c>
      <c r="B381" s="7" t="n">
        <v>2064</v>
      </c>
      <c r="C381" s="8" t="inlineStr">
        <is>
          <t>UrbanVN UE-24</t>
        </is>
      </c>
      <c r="D381" s="8" t="inlineStr">
        <is>
          <t>Streetwear</t>
        </is>
      </c>
      <c r="E381" s="7" t="inlineStr">
        <is>
          <t>Performance</t>
        </is>
      </c>
      <c r="F381" s="7" t="inlineStr">
        <is>
          <t>S</t>
        </is>
      </c>
      <c r="G381" s="7" t="inlineStr">
        <is>
          <t>white</t>
        </is>
      </c>
      <c r="H381" s="9" t="n">
        <v>1334</v>
      </c>
      <c r="I381" s="9" t="n">
        <v>10</v>
      </c>
      <c r="J381" s="10" t="n">
        <v>8</v>
      </c>
      <c r="K381" s="10">
        <f>IFERROR(J381/30,0)</f>
        <v/>
      </c>
      <c r="L381" s="9" t="n">
        <v>0</v>
      </c>
      <c r="M381" s="11" t="n">
        <v>1</v>
      </c>
      <c r="N381" s="9" t="n">
        <v>0</v>
      </c>
      <c r="O381" s="9" t="n">
        <v>1</v>
      </c>
      <c r="P381" s="9" t="n">
        <v>0</v>
      </c>
      <c r="Q381" s="12" t="n">
        <v>0</v>
      </c>
      <c r="R381" s="12" t="n">
        <v>0</v>
      </c>
      <c r="S381" s="9">
        <f>H381+Q381-R381</f>
        <v/>
      </c>
      <c r="T381" s="12" t="n">
        <v>14</v>
      </c>
      <c r="U381" s="12" t="n">
        <v>7</v>
      </c>
      <c r="V381" s="12" t="n">
        <v>7</v>
      </c>
      <c r="W381" s="10">
        <f>K381*(T381+U381)</f>
        <v/>
      </c>
      <c r="X381" s="10">
        <f>K381*(T381+U381+V381)</f>
        <v/>
      </c>
      <c r="Y381" s="10">
        <f>IF(K381&gt;0,H381/K381,99999)</f>
        <v/>
      </c>
      <c r="Z381" s="8">
        <f>IF(AND(OR(L381&gt;=1,M381&lt;0.95),Y381&gt;120),"DATA CONFLICT - VERIFY",IF(OR(L381&gt;=1,M381&lt;0.95,Y381&lt;=14),"SERVICE / STOCKOUT REVIEW",IF(Y381&gt;120,"OVERSTOCK REVIEW",IF(S381&lt;=W381,"REPLENISHMENT REVIEW","NORMAL MONITORING"))))</f>
        <v/>
      </c>
      <c r="AA381" s="9">
        <f>IF(OR(Z381="DATA CONFLICT - VERIFY",Z381="SERVICE / STOCKOUT REVIEW"),0,IF(S381&lt;=W381,MAX(0,ROUNDUP(X381-S381,0)),0))</f>
        <v/>
      </c>
      <c r="AB381" s="8">
        <f>IF(Z381="DATA CONFLICT - VERIFY","P1 - DATA CONFLICT",IF(Z381="SERVICE / STOCKOUT REVIEW","P1 - SERVICE",IF(Z381="OVERSTOCK REVIEW","P2 - OVERSTOCK",IF(Z381="REPLENISHMENT REVIEW","P2 - REPLENISH","P3 - MONITOR"))))</f>
        <v/>
      </c>
      <c r="AC381" s="10" t="n">
        <v>6479.721271860095</v>
      </c>
      <c r="AD381" s="10" t="n">
        <v>5307.539693780604</v>
      </c>
      <c r="AE381" s="10">
        <f>IF(OR(AD381="",H381=""),"",H381*AD381)</f>
        <v/>
      </c>
    </row>
    <row r="382">
      <c r="A382" s="13" t="inlineStr">
        <is>
          <t>2022-12-31</t>
        </is>
      </c>
      <c r="B382" s="13" t="n">
        <v>2084</v>
      </c>
      <c r="C382" s="14" t="inlineStr">
        <is>
          <t>UrbanVN UC-19</t>
        </is>
      </c>
      <c r="D382" s="14" t="inlineStr">
        <is>
          <t>Streetwear</t>
        </is>
      </c>
      <c r="E382" s="13" t="inlineStr">
        <is>
          <t>Everyday</t>
        </is>
      </c>
      <c r="F382" s="13" t="inlineStr">
        <is>
          <t>S</t>
        </is>
      </c>
      <c r="G382" s="13" t="inlineStr">
        <is>
          <t>white</t>
        </is>
      </c>
      <c r="H382" s="15" t="n">
        <v>433</v>
      </c>
      <c r="I382" s="15" t="n">
        <v>4</v>
      </c>
      <c r="J382" s="16" t="n">
        <v>3</v>
      </c>
      <c r="K382" s="16">
        <f>IFERROR(J382/30,0)</f>
        <v/>
      </c>
      <c r="L382" s="15" t="n">
        <v>1</v>
      </c>
      <c r="M382" s="17" t="n">
        <v>0.9667</v>
      </c>
      <c r="N382" s="15" t="n">
        <v>1</v>
      </c>
      <c r="O382" s="15" t="n">
        <v>1</v>
      </c>
      <c r="P382" s="15" t="n">
        <v>0</v>
      </c>
      <c r="Q382" s="12" t="n">
        <v>0</v>
      </c>
      <c r="R382" s="12" t="n">
        <v>0</v>
      </c>
      <c r="S382" s="15">
        <f>H382+Q382-R382</f>
        <v/>
      </c>
      <c r="T382" s="12" t="n">
        <v>14</v>
      </c>
      <c r="U382" s="12" t="n">
        <v>7</v>
      </c>
      <c r="V382" s="12" t="n">
        <v>7</v>
      </c>
      <c r="W382" s="16">
        <f>K382*(T382+U382)</f>
        <v/>
      </c>
      <c r="X382" s="16">
        <f>K382*(T382+U382+V382)</f>
        <v/>
      </c>
      <c r="Y382" s="16">
        <f>IF(K382&gt;0,H382/K382,99999)</f>
        <v/>
      </c>
      <c r="Z382" s="14">
        <f>IF(AND(OR(L382&gt;=1,M382&lt;0.95),Y382&gt;120),"DATA CONFLICT - VERIFY",IF(OR(L382&gt;=1,M382&lt;0.95,Y382&lt;=14),"SERVICE / STOCKOUT REVIEW",IF(Y382&gt;120,"OVERSTOCK REVIEW",IF(S382&lt;=W382,"REPLENISHMENT REVIEW","NORMAL MONITORING"))))</f>
        <v/>
      </c>
      <c r="AA382" s="15">
        <f>IF(OR(Z382="DATA CONFLICT - VERIFY",Z382="SERVICE / STOCKOUT REVIEW"),0,IF(S382&lt;=W382,MAX(0,ROUNDUP(X382-S382,0)),0))</f>
        <v/>
      </c>
      <c r="AB382" s="14">
        <f>IF(Z382="DATA CONFLICT - VERIFY","P1 - DATA CONFLICT",IF(Z382="SERVICE / STOCKOUT REVIEW","P1 - SERVICE",IF(Z382="OVERSTOCK REVIEW","P2 - OVERSTOCK",IF(Z382="REPLENISHMENT REVIEW","P2 - REPLENISH","P3 - MONITOR"))))</f>
        <v/>
      </c>
      <c r="AC382" s="16" t="n">
        <v>8001.930483870968</v>
      </c>
      <c r="AD382" s="16" t="n">
        <v>7425.791489032258</v>
      </c>
      <c r="AE382" s="16">
        <f>IF(OR(AD382="",H382=""),"",H382*AD382)</f>
        <v/>
      </c>
    </row>
    <row r="383">
      <c r="A383" s="7" t="inlineStr">
        <is>
          <t>2022-12-31</t>
        </is>
      </c>
      <c r="B383" s="7" t="n">
        <v>2086</v>
      </c>
      <c r="C383" s="8" t="inlineStr">
        <is>
          <t>UrbanVN UC-21</t>
        </is>
      </c>
      <c r="D383" s="8" t="inlineStr">
        <is>
          <t>Streetwear</t>
        </is>
      </c>
      <c r="E383" s="7" t="inlineStr">
        <is>
          <t>Everyday</t>
        </is>
      </c>
      <c r="F383" s="7" t="inlineStr">
        <is>
          <t>L</t>
        </is>
      </c>
      <c r="G383" s="7" t="inlineStr">
        <is>
          <t>green</t>
        </is>
      </c>
      <c r="H383" s="9" t="n">
        <v>268</v>
      </c>
      <c r="I383" s="9" t="n">
        <v>8</v>
      </c>
      <c r="J383" s="10" t="n">
        <v>4.666666666666667</v>
      </c>
      <c r="K383" s="10">
        <f>IFERROR(J383/30,0)</f>
        <v/>
      </c>
      <c r="L383" s="9" t="n">
        <v>0</v>
      </c>
      <c r="M383" s="11" t="n">
        <v>1</v>
      </c>
      <c r="N383" s="9" t="n">
        <v>0</v>
      </c>
      <c r="O383" s="9" t="n">
        <v>1</v>
      </c>
      <c r="P383" s="9" t="n">
        <v>0</v>
      </c>
      <c r="Q383" s="12" t="n">
        <v>0</v>
      </c>
      <c r="R383" s="12" t="n">
        <v>0</v>
      </c>
      <c r="S383" s="9">
        <f>H383+Q383-R383</f>
        <v/>
      </c>
      <c r="T383" s="12" t="n">
        <v>14</v>
      </c>
      <c r="U383" s="12" t="n">
        <v>7</v>
      </c>
      <c r="V383" s="12" t="n">
        <v>7</v>
      </c>
      <c r="W383" s="10">
        <f>K383*(T383+U383)</f>
        <v/>
      </c>
      <c r="X383" s="10">
        <f>K383*(T383+U383+V383)</f>
        <v/>
      </c>
      <c r="Y383" s="10">
        <f>IF(K383&gt;0,H383/K383,99999)</f>
        <v/>
      </c>
      <c r="Z383" s="8">
        <f>IF(AND(OR(L383&gt;=1,M383&lt;0.95),Y383&gt;120),"DATA CONFLICT - VERIFY",IF(OR(L383&gt;=1,M383&lt;0.95,Y383&lt;=14),"SERVICE / STOCKOUT REVIEW",IF(Y383&gt;120,"OVERSTOCK REVIEW",IF(S383&lt;=W383,"REPLENISHMENT REVIEW","NORMAL MONITORING"))))</f>
        <v/>
      </c>
      <c r="AA383" s="9">
        <f>IF(OR(Z383="DATA CONFLICT - VERIFY",Z383="SERVICE / STOCKOUT REVIEW"),0,IF(S383&lt;=W383,MAX(0,ROUNDUP(X383-S383,0)),0))</f>
        <v/>
      </c>
      <c r="AB383" s="8">
        <f>IF(Z383="DATA CONFLICT - VERIFY","P1 - DATA CONFLICT",IF(Z383="SERVICE / STOCKOUT REVIEW","P1 - SERVICE",IF(Z383="OVERSTOCK REVIEW","P2 - OVERSTOCK",IF(Z383="REPLENISHMENT REVIEW","P2 - REPLENISH","P3 - MONITOR"))))</f>
        <v/>
      </c>
      <c r="AC383" s="10" t="n">
        <v>2916.654191829485</v>
      </c>
      <c r="AD383" s="10" t="n">
        <v>2528.44751889698</v>
      </c>
      <c r="AE383" s="10">
        <f>IF(OR(AD383="",H383=""),"",H383*AD383)</f>
        <v/>
      </c>
    </row>
    <row r="384">
      <c r="A384" s="13" t="inlineStr">
        <is>
          <t>2022-12-31</t>
        </is>
      </c>
      <c r="B384" s="13" t="n">
        <v>2124</v>
      </c>
      <c r="C384" s="14" t="inlineStr">
        <is>
          <t>PhoenixWear UM-15</t>
        </is>
      </c>
      <c r="D384" s="14" t="inlineStr">
        <is>
          <t>Streetwear</t>
        </is>
      </c>
      <c r="E384" s="13" t="inlineStr">
        <is>
          <t>Balanced</t>
        </is>
      </c>
      <c r="F384" s="13" t="inlineStr">
        <is>
          <t>S</t>
        </is>
      </c>
      <c r="G384" s="13" t="inlineStr">
        <is>
          <t>white</t>
        </is>
      </c>
      <c r="H384" s="15" t="n">
        <v>5</v>
      </c>
      <c r="I384" s="15" t="n">
        <v>2</v>
      </c>
      <c r="J384" s="16" t="n">
        <v>2</v>
      </c>
      <c r="K384" s="16">
        <f>IFERROR(J384/30,0)</f>
        <v/>
      </c>
      <c r="L384" s="15" t="n">
        <v>2</v>
      </c>
      <c r="M384" s="17" t="n">
        <v>0.9333</v>
      </c>
      <c r="N384" s="15" t="n">
        <v>1</v>
      </c>
      <c r="O384" s="15" t="n">
        <v>0</v>
      </c>
      <c r="P384" s="15" t="n">
        <v>0</v>
      </c>
      <c r="Q384" s="12" t="n">
        <v>0</v>
      </c>
      <c r="R384" s="12" t="n">
        <v>0</v>
      </c>
      <c r="S384" s="15">
        <f>H384+Q384-R384</f>
        <v/>
      </c>
      <c r="T384" s="12" t="n">
        <v>14</v>
      </c>
      <c r="U384" s="12" t="n">
        <v>7</v>
      </c>
      <c r="V384" s="12" t="n">
        <v>7</v>
      </c>
      <c r="W384" s="16">
        <f>K384*(T384+U384)</f>
        <v/>
      </c>
      <c r="X384" s="16">
        <f>K384*(T384+U384+V384)</f>
        <v/>
      </c>
      <c r="Y384" s="16">
        <f>IF(K384&gt;0,H384/K384,99999)</f>
        <v/>
      </c>
      <c r="Z384" s="14">
        <f>IF(AND(OR(L384&gt;=1,M384&lt;0.95),Y384&gt;120),"DATA CONFLICT - VERIFY",IF(OR(L384&gt;=1,M384&lt;0.95,Y384&lt;=14),"SERVICE / STOCKOUT REVIEW",IF(Y384&gt;120,"OVERSTOCK REVIEW",IF(S384&lt;=W384,"REPLENISHMENT REVIEW","NORMAL MONITORING"))))</f>
        <v/>
      </c>
      <c r="AA384" s="15">
        <f>IF(OR(Z384="DATA CONFLICT - VERIFY",Z384="SERVICE / STOCKOUT REVIEW"),0,IF(S384&lt;=W384,MAX(0,ROUNDUP(X384-S384,0)),0))</f>
        <v/>
      </c>
      <c r="AB384" s="14">
        <f>IF(Z384="DATA CONFLICT - VERIFY","P1 - DATA CONFLICT",IF(Z384="SERVICE / STOCKOUT REVIEW","P1 - SERVICE",IF(Z384="OVERSTOCK REVIEW","P2 - OVERSTOCK",IF(Z384="REPLENISHMENT REVIEW","P2 - REPLENISH","P3 - MONITOR"))))</f>
        <v/>
      </c>
      <c r="AC384" s="16" t="n">
        <v>10854.35630136986</v>
      </c>
      <c r="AD384" s="16" t="n">
        <v>6990.205458082193</v>
      </c>
      <c r="AE384" s="16">
        <f>IF(OR(AD384="",H384=""),"",H384*AD384)</f>
        <v/>
      </c>
    </row>
    <row r="385">
      <c r="A385" s="7" t="inlineStr">
        <is>
          <t>2022-12-31</t>
        </is>
      </c>
      <c r="B385" s="7" t="n">
        <v>2133</v>
      </c>
      <c r="C385" s="8" t="inlineStr">
        <is>
          <t>PhoenixWear UR-09</t>
        </is>
      </c>
      <c r="D385" s="8" t="inlineStr">
        <is>
          <t>Streetwear</t>
        </is>
      </c>
      <c r="E385" s="7" t="inlineStr">
        <is>
          <t>Standard</t>
        </is>
      </c>
      <c r="F385" s="7" t="inlineStr">
        <is>
          <t>M</t>
        </is>
      </c>
      <c r="G385" s="7" t="inlineStr">
        <is>
          <t>blue</t>
        </is>
      </c>
      <c r="H385" s="9" t="n">
        <v>14</v>
      </c>
      <c r="I385" s="9" t="n">
        <v>2</v>
      </c>
      <c r="J385" s="10" t="n">
        <v>1.666666666666667</v>
      </c>
      <c r="K385" s="10">
        <f>IFERROR(J385/30,0)</f>
        <v/>
      </c>
      <c r="L385" s="9" t="n">
        <v>2</v>
      </c>
      <c r="M385" s="11" t="n">
        <v>0.9333</v>
      </c>
      <c r="N385" s="9" t="n">
        <v>1</v>
      </c>
      <c r="O385" s="9" t="n">
        <v>1</v>
      </c>
      <c r="P385" s="9" t="n">
        <v>0</v>
      </c>
      <c r="Q385" s="12" t="n">
        <v>0</v>
      </c>
      <c r="R385" s="12" t="n">
        <v>0</v>
      </c>
      <c r="S385" s="9">
        <f>H385+Q385-R385</f>
        <v/>
      </c>
      <c r="T385" s="12" t="n">
        <v>14</v>
      </c>
      <c r="U385" s="12" t="n">
        <v>7</v>
      </c>
      <c r="V385" s="12" t="n">
        <v>7</v>
      </c>
      <c r="W385" s="10">
        <f>K385*(T385+U385)</f>
        <v/>
      </c>
      <c r="X385" s="10">
        <f>K385*(T385+U385+V385)</f>
        <v/>
      </c>
      <c r="Y385" s="10">
        <f>IF(K385&gt;0,H385/K385,99999)</f>
        <v/>
      </c>
      <c r="Z385" s="8">
        <f>IF(AND(OR(L385&gt;=1,M385&lt;0.95),Y385&gt;120),"DATA CONFLICT - VERIFY",IF(OR(L385&gt;=1,M385&lt;0.95,Y385&lt;=14),"SERVICE / STOCKOUT REVIEW",IF(Y385&gt;120,"OVERSTOCK REVIEW",IF(S385&lt;=W385,"REPLENISHMENT REVIEW","NORMAL MONITORING"))))</f>
        <v/>
      </c>
      <c r="AA385" s="9">
        <f>IF(OR(Z385="DATA CONFLICT - VERIFY",Z385="SERVICE / STOCKOUT REVIEW"),0,IF(S385&lt;=W385,MAX(0,ROUNDUP(X385-S385,0)),0))</f>
        <v/>
      </c>
      <c r="AB385" s="8">
        <f>IF(Z385="DATA CONFLICT - VERIFY","P1 - DATA CONFLICT",IF(Z385="SERVICE / STOCKOUT REVIEW","P1 - SERVICE",IF(Z385="OVERSTOCK REVIEW","P2 - OVERSTOCK",IF(Z385="REPLENISHMENT REVIEW","P2 - REPLENISH","P3 - MONITOR"))))</f>
        <v/>
      </c>
      <c r="AC385" s="10" t="n">
        <v>5497.100290456431</v>
      </c>
      <c r="AD385" s="10" t="n">
        <v>5222.245275933609</v>
      </c>
      <c r="AE385" s="10">
        <f>IF(OR(AD385="",H385=""),"",H385*AD385)</f>
        <v/>
      </c>
    </row>
    <row r="386">
      <c r="A386" s="13" t="inlineStr">
        <is>
          <t>2022-12-31</t>
        </is>
      </c>
      <c r="B386" s="13" t="n">
        <v>2134</v>
      </c>
      <c r="C386" s="14" t="inlineStr">
        <is>
          <t>PhoenixWear UR-10</t>
        </is>
      </c>
      <c r="D386" s="14" t="inlineStr">
        <is>
          <t>Streetwear</t>
        </is>
      </c>
      <c r="E386" s="13" t="inlineStr">
        <is>
          <t>Standard</t>
        </is>
      </c>
      <c r="F386" s="13" t="inlineStr">
        <is>
          <t>L</t>
        </is>
      </c>
      <c r="G386" s="13" t="inlineStr">
        <is>
          <t>white</t>
        </is>
      </c>
      <c r="H386" s="15" t="n">
        <v>21</v>
      </c>
      <c r="I386" s="15" t="n">
        <v>1</v>
      </c>
      <c r="J386" s="16" t="n">
        <v>1.666666666666667</v>
      </c>
      <c r="K386" s="16">
        <f>IFERROR(J386/30,0)</f>
        <v/>
      </c>
      <c r="L386" s="15" t="n">
        <v>0</v>
      </c>
      <c r="M386" s="17" t="n">
        <v>1</v>
      </c>
      <c r="N386" s="15" t="n">
        <v>0</v>
      </c>
      <c r="O386" s="15" t="n">
        <v>1</v>
      </c>
      <c r="P386" s="15" t="n">
        <v>0</v>
      </c>
      <c r="Q386" s="12" t="n">
        <v>0</v>
      </c>
      <c r="R386" s="12" t="n">
        <v>0</v>
      </c>
      <c r="S386" s="15">
        <f>H386+Q386-R386</f>
        <v/>
      </c>
      <c r="T386" s="12" t="n">
        <v>14</v>
      </c>
      <c r="U386" s="12" t="n">
        <v>7</v>
      </c>
      <c r="V386" s="12" t="n">
        <v>7</v>
      </c>
      <c r="W386" s="16">
        <f>K386*(T386+U386)</f>
        <v/>
      </c>
      <c r="X386" s="16">
        <f>K386*(T386+U386+V386)</f>
        <v/>
      </c>
      <c r="Y386" s="16">
        <f>IF(K386&gt;0,H386/K386,99999)</f>
        <v/>
      </c>
      <c r="Z386" s="14">
        <f>IF(AND(OR(L386&gt;=1,M386&lt;0.95),Y386&gt;120),"DATA CONFLICT - VERIFY",IF(OR(L386&gt;=1,M386&lt;0.95,Y386&lt;=14),"SERVICE / STOCKOUT REVIEW",IF(Y386&gt;120,"OVERSTOCK REVIEW",IF(S386&lt;=W386,"REPLENISHMENT REVIEW","NORMAL MONITORING"))))</f>
        <v/>
      </c>
      <c r="AA386" s="15">
        <f>IF(OR(Z386="DATA CONFLICT - VERIFY",Z386="SERVICE / STOCKOUT REVIEW"),0,IF(S386&lt;=W386,MAX(0,ROUNDUP(X386-S386,0)),0))</f>
        <v/>
      </c>
      <c r="AB386" s="14">
        <f>IF(Z386="DATA CONFLICT - VERIFY","P1 - DATA CONFLICT",IF(Z386="SERVICE / STOCKOUT REVIEW","P1 - SERVICE",IF(Z386="OVERSTOCK REVIEW","P2 - OVERSTOCK",IF(Z386="REPLENISHMENT REVIEW","P2 - REPLENISH","P3 - MONITOR"))))</f>
        <v/>
      </c>
      <c r="AC386" s="16" t="n">
        <v>6133.816022727272</v>
      </c>
      <c r="AD386" s="16" t="n">
        <v>5691.567887488636</v>
      </c>
      <c r="AE386" s="16">
        <f>IF(OR(AD386="",H386=""),"",H386*AD386)</f>
        <v/>
      </c>
    </row>
    <row r="387">
      <c r="A387" s="7" t="inlineStr">
        <is>
          <t>2022-12-31</t>
        </is>
      </c>
      <c r="B387" s="7" t="n">
        <v>2136</v>
      </c>
      <c r="C387" s="8" t="inlineStr">
        <is>
          <t>PhoenixWear UR-12</t>
        </is>
      </c>
      <c r="D387" s="8" t="inlineStr">
        <is>
          <t>Streetwear</t>
        </is>
      </c>
      <c r="E387" s="7" t="inlineStr">
        <is>
          <t>Standard</t>
        </is>
      </c>
      <c r="F387" s="7" t="inlineStr">
        <is>
          <t>S</t>
        </is>
      </c>
      <c r="G387" s="7" t="inlineStr">
        <is>
          <t>green</t>
        </is>
      </c>
      <c r="H387" s="9" t="n">
        <v>87</v>
      </c>
      <c r="I387" s="9" t="n">
        <v>9</v>
      </c>
      <c r="J387" s="10" t="n">
        <v>7.666666666666667</v>
      </c>
      <c r="K387" s="10">
        <f>IFERROR(J387/30,0)</f>
        <v/>
      </c>
      <c r="L387" s="9" t="n">
        <v>1</v>
      </c>
      <c r="M387" s="11" t="n">
        <v>0.9667</v>
      </c>
      <c r="N387" s="9" t="n">
        <v>1</v>
      </c>
      <c r="O387" s="9" t="n">
        <v>1</v>
      </c>
      <c r="P387" s="9" t="n">
        <v>0</v>
      </c>
      <c r="Q387" s="12" t="n">
        <v>0</v>
      </c>
      <c r="R387" s="12" t="n">
        <v>0</v>
      </c>
      <c r="S387" s="9">
        <f>H387+Q387-R387</f>
        <v/>
      </c>
      <c r="T387" s="12" t="n">
        <v>14</v>
      </c>
      <c r="U387" s="12" t="n">
        <v>7</v>
      </c>
      <c r="V387" s="12" t="n">
        <v>7</v>
      </c>
      <c r="W387" s="10">
        <f>K387*(T387+U387)</f>
        <v/>
      </c>
      <c r="X387" s="10">
        <f>K387*(T387+U387+V387)</f>
        <v/>
      </c>
      <c r="Y387" s="10">
        <f>IF(K387&gt;0,H387/K387,99999)</f>
        <v/>
      </c>
      <c r="Z387" s="8">
        <f>IF(AND(OR(L387&gt;=1,M387&lt;0.95),Y387&gt;120),"DATA CONFLICT - VERIFY",IF(OR(L387&gt;=1,M387&lt;0.95,Y387&lt;=14),"SERVICE / STOCKOUT REVIEW",IF(Y387&gt;120,"OVERSTOCK REVIEW",IF(S387&lt;=W387,"REPLENISHMENT REVIEW","NORMAL MONITORING"))))</f>
        <v/>
      </c>
      <c r="AA387" s="9">
        <f>IF(OR(Z387="DATA CONFLICT - VERIFY",Z387="SERVICE / STOCKOUT REVIEW"),0,IF(S387&lt;=W387,MAX(0,ROUNDUP(X387-S387,0)),0))</f>
        <v/>
      </c>
      <c r="AB387" s="8">
        <f>IF(Z387="DATA CONFLICT - VERIFY","P1 - DATA CONFLICT",IF(Z387="SERVICE / STOCKOUT REVIEW","P1 - SERVICE",IF(Z387="OVERSTOCK REVIEW","P2 - OVERSTOCK",IF(Z387="REPLENISHMENT REVIEW","P2 - REPLENISH","P3 - MONITOR"))))</f>
        <v/>
      </c>
      <c r="AC387" s="10" t="n">
        <v>5342.824976303317</v>
      </c>
      <c r="AD387" s="10" t="n">
        <v>4014.598687194313</v>
      </c>
      <c r="AE387" s="10">
        <f>IF(OR(AD387="",H387=""),"",H387*AD387)</f>
        <v/>
      </c>
    </row>
    <row r="388">
      <c r="A388" s="13" t="inlineStr">
        <is>
          <t>2022-12-31</t>
        </is>
      </c>
      <c r="B388" s="13" t="n">
        <v>2138</v>
      </c>
      <c r="C388" s="14" t="inlineStr">
        <is>
          <t>PhoenixWear UR-14</t>
        </is>
      </c>
      <c r="D388" s="14" t="inlineStr">
        <is>
          <t>Streetwear</t>
        </is>
      </c>
      <c r="E388" s="13" t="inlineStr">
        <is>
          <t>Standard</t>
        </is>
      </c>
      <c r="F388" s="13" t="inlineStr">
        <is>
          <t>L</t>
        </is>
      </c>
      <c r="G388" s="13" t="inlineStr">
        <is>
          <t>pink</t>
        </is>
      </c>
      <c r="H388" s="15" t="n">
        <v>123</v>
      </c>
      <c r="I388" s="15" t="n">
        <v>4</v>
      </c>
      <c r="J388" s="16" t="n">
        <v>6.666666666666667</v>
      </c>
      <c r="K388" s="16">
        <f>IFERROR(J388/30,0)</f>
        <v/>
      </c>
      <c r="L388" s="15" t="n">
        <v>1</v>
      </c>
      <c r="M388" s="17" t="n">
        <v>0.9667</v>
      </c>
      <c r="N388" s="15" t="n">
        <v>1</v>
      </c>
      <c r="O388" s="15" t="n">
        <v>1</v>
      </c>
      <c r="P388" s="15" t="n">
        <v>0</v>
      </c>
      <c r="Q388" s="12" t="n">
        <v>0</v>
      </c>
      <c r="R388" s="12" t="n">
        <v>0</v>
      </c>
      <c r="S388" s="15">
        <f>H388+Q388-R388</f>
        <v/>
      </c>
      <c r="T388" s="12" t="n">
        <v>14</v>
      </c>
      <c r="U388" s="12" t="n">
        <v>7</v>
      </c>
      <c r="V388" s="12" t="n">
        <v>7</v>
      </c>
      <c r="W388" s="16">
        <f>K388*(T388+U388)</f>
        <v/>
      </c>
      <c r="X388" s="16">
        <f>K388*(T388+U388+V388)</f>
        <v/>
      </c>
      <c r="Y388" s="16">
        <f>IF(K388&gt;0,H388/K388,99999)</f>
        <v/>
      </c>
      <c r="Z388" s="14">
        <f>IF(AND(OR(L388&gt;=1,M388&lt;0.95),Y388&gt;120),"DATA CONFLICT - VERIFY",IF(OR(L388&gt;=1,M388&lt;0.95,Y388&lt;=14),"SERVICE / STOCKOUT REVIEW",IF(Y388&gt;120,"OVERSTOCK REVIEW",IF(S388&lt;=W388,"REPLENISHMENT REVIEW","NORMAL MONITORING"))))</f>
        <v/>
      </c>
      <c r="AA388" s="15">
        <f>IF(OR(Z388="DATA CONFLICT - VERIFY",Z388="SERVICE / STOCKOUT REVIEW"),0,IF(S388&lt;=W388,MAX(0,ROUNDUP(X388-S388,0)),0))</f>
        <v/>
      </c>
      <c r="AB388" s="14">
        <f>IF(Z388="DATA CONFLICT - VERIFY","P1 - DATA CONFLICT",IF(Z388="SERVICE / STOCKOUT REVIEW","P1 - SERVICE",IF(Z388="OVERSTOCK REVIEW","P2 - OVERSTOCK",IF(Z388="REPLENISHMENT REVIEW","P2 - REPLENISH","P3 - MONITOR"))))</f>
        <v/>
      </c>
      <c r="AC388" s="16" t="n">
        <v>5385.87</v>
      </c>
      <c r="AD388" s="16" t="n">
        <v>4297.92426</v>
      </c>
      <c r="AE388" s="16">
        <f>IF(OR(AD388="",H388=""),"",H388*AD388)</f>
        <v/>
      </c>
    </row>
    <row r="389">
      <c r="A389" s="7" t="inlineStr">
        <is>
          <t>2022-12-31</t>
        </is>
      </c>
      <c r="B389" s="7" t="n">
        <v>2144</v>
      </c>
      <c r="C389" s="8" t="inlineStr">
        <is>
          <t>PhoenixWear UR-20</t>
        </is>
      </c>
      <c r="D389" s="8" t="inlineStr">
        <is>
          <t>Streetwear</t>
        </is>
      </c>
      <c r="E389" s="7" t="inlineStr">
        <is>
          <t>Standard</t>
        </is>
      </c>
      <c r="F389" s="7" t="inlineStr">
        <is>
          <t>S</t>
        </is>
      </c>
      <c r="G389" s="7" t="inlineStr">
        <is>
          <t>white</t>
        </is>
      </c>
      <c r="H389" s="9" t="n">
        <v>31</v>
      </c>
      <c r="I389" s="9" t="n">
        <v>2</v>
      </c>
      <c r="J389" s="10" t="n">
        <v>2.666666666666667</v>
      </c>
      <c r="K389" s="10">
        <f>IFERROR(J389/30,0)</f>
        <v/>
      </c>
      <c r="L389" s="9" t="n">
        <v>0</v>
      </c>
      <c r="M389" s="11" t="n">
        <v>1</v>
      </c>
      <c r="N389" s="9" t="n">
        <v>0</v>
      </c>
      <c r="O389" s="9" t="n">
        <v>1</v>
      </c>
      <c r="P389" s="9" t="n">
        <v>0</v>
      </c>
      <c r="Q389" s="12" t="n">
        <v>0</v>
      </c>
      <c r="R389" s="12" t="n">
        <v>0</v>
      </c>
      <c r="S389" s="9">
        <f>H389+Q389-R389</f>
        <v/>
      </c>
      <c r="T389" s="12" t="n">
        <v>14</v>
      </c>
      <c r="U389" s="12" t="n">
        <v>7</v>
      </c>
      <c r="V389" s="12" t="n">
        <v>7</v>
      </c>
      <c r="W389" s="10">
        <f>K389*(T389+U389)</f>
        <v/>
      </c>
      <c r="X389" s="10">
        <f>K389*(T389+U389+V389)</f>
        <v/>
      </c>
      <c r="Y389" s="10">
        <f>IF(K389&gt;0,H389/K389,99999)</f>
        <v/>
      </c>
      <c r="Z389" s="8">
        <f>IF(AND(OR(L389&gt;=1,M389&lt;0.95),Y389&gt;120),"DATA CONFLICT - VERIFY",IF(OR(L389&gt;=1,M389&lt;0.95,Y389&lt;=14),"SERVICE / STOCKOUT REVIEW",IF(Y389&gt;120,"OVERSTOCK REVIEW",IF(S389&lt;=W389,"REPLENISHMENT REVIEW","NORMAL MONITORING"))))</f>
        <v/>
      </c>
      <c r="AA389" s="9">
        <f>IF(OR(Z389="DATA CONFLICT - VERIFY",Z389="SERVICE / STOCKOUT REVIEW"),0,IF(S389&lt;=W389,MAX(0,ROUNDUP(X389-S389,0)),0))</f>
        <v/>
      </c>
      <c r="AB389" s="8">
        <f>IF(Z389="DATA CONFLICT - VERIFY","P1 - DATA CONFLICT",IF(Z389="SERVICE / STOCKOUT REVIEW","P1 - SERVICE",IF(Z389="OVERSTOCK REVIEW","P2 - OVERSTOCK",IF(Z389="REPLENISHMENT REVIEW","P2 - REPLENISH","P3 - MONITOR"))))</f>
        <v/>
      </c>
      <c r="AC389" s="10" t="n">
        <v>5279.316428571428</v>
      </c>
      <c r="AD389" s="10" t="n">
        <v>3096.847017</v>
      </c>
      <c r="AE389" s="10">
        <f>IF(OR(AD389="",H389=""),"",H389*AD389)</f>
        <v/>
      </c>
    </row>
    <row r="390">
      <c r="A390" s="13" t="inlineStr">
        <is>
          <t>2022-12-31</t>
        </is>
      </c>
      <c r="B390" s="13" t="n">
        <v>2145</v>
      </c>
      <c r="C390" s="14" t="inlineStr">
        <is>
          <t>PhoenixWear UR-21</t>
        </is>
      </c>
      <c r="D390" s="14" t="inlineStr">
        <is>
          <t>Streetwear</t>
        </is>
      </c>
      <c r="E390" s="13" t="inlineStr">
        <is>
          <t>Standard</t>
        </is>
      </c>
      <c r="F390" s="13" t="inlineStr">
        <is>
          <t>M</t>
        </is>
      </c>
      <c r="G390" s="13" t="inlineStr">
        <is>
          <t>purple</t>
        </is>
      </c>
      <c r="H390" s="15" t="n">
        <v>74</v>
      </c>
      <c r="I390" s="15" t="n">
        <v>4</v>
      </c>
      <c r="J390" s="16" t="n">
        <v>4</v>
      </c>
      <c r="K390" s="16">
        <f>IFERROR(J390/30,0)</f>
        <v/>
      </c>
      <c r="L390" s="15" t="n">
        <v>0</v>
      </c>
      <c r="M390" s="17" t="n">
        <v>1</v>
      </c>
      <c r="N390" s="15" t="n">
        <v>0</v>
      </c>
      <c r="O390" s="15" t="n">
        <v>1</v>
      </c>
      <c r="P390" s="15" t="n">
        <v>0</v>
      </c>
      <c r="Q390" s="12" t="n">
        <v>0</v>
      </c>
      <c r="R390" s="12" t="n">
        <v>0</v>
      </c>
      <c r="S390" s="15">
        <f>H390+Q390-R390</f>
        <v/>
      </c>
      <c r="T390" s="12" t="n">
        <v>14</v>
      </c>
      <c r="U390" s="12" t="n">
        <v>7</v>
      </c>
      <c r="V390" s="12" t="n">
        <v>7</v>
      </c>
      <c r="W390" s="16">
        <f>K390*(T390+U390)</f>
        <v/>
      </c>
      <c r="X390" s="16">
        <f>K390*(T390+U390+V390)</f>
        <v/>
      </c>
      <c r="Y390" s="16">
        <f>IF(K390&gt;0,H390/K390,99999)</f>
        <v/>
      </c>
      <c r="Z390" s="14">
        <f>IF(AND(OR(L390&gt;=1,M390&lt;0.95),Y390&gt;120),"DATA CONFLICT - VERIFY",IF(OR(L390&gt;=1,M390&lt;0.95,Y390&lt;=14),"SERVICE / STOCKOUT REVIEW",IF(Y390&gt;120,"OVERSTOCK REVIEW",IF(S390&lt;=W390,"REPLENISHMENT REVIEW","NORMAL MONITORING"))))</f>
        <v/>
      </c>
      <c r="AA390" s="15">
        <f>IF(OR(Z390="DATA CONFLICT - VERIFY",Z390="SERVICE / STOCKOUT REVIEW"),0,IF(S390&lt;=W390,MAX(0,ROUNDUP(X390-S390,0)),0))</f>
        <v/>
      </c>
      <c r="AB390" s="14">
        <f>IF(Z390="DATA CONFLICT - VERIFY","P1 - DATA CONFLICT",IF(Z390="SERVICE / STOCKOUT REVIEW","P1 - SERVICE",IF(Z390="OVERSTOCK REVIEW","P2 - OVERSTOCK",IF(Z390="REPLENISHMENT REVIEW","P2 - REPLENISH","P3 - MONITOR"))))</f>
        <v/>
      </c>
      <c r="AC390" s="16" t="n">
        <v>4797.610282685512</v>
      </c>
      <c r="AD390" s="16" t="n">
        <v>3923.96545020848</v>
      </c>
      <c r="AE390" s="16">
        <f>IF(OR(AD390="",H390=""),"",H390*AD390)</f>
        <v/>
      </c>
    </row>
    <row r="391">
      <c r="A391" s="7" t="inlineStr">
        <is>
          <t>2022-12-31</t>
        </is>
      </c>
      <c r="B391" s="7" t="n">
        <v>2148</v>
      </c>
      <c r="C391" s="8" t="inlineStr">
        <is>
          <t>PhoenixWear UE-01</t>
        </is>
      </c>
      <c r="D391" s="8" t="inlineStr">
        <is>
          <t>Streetwear</t>
        </is>
      </c>
      <c r="E391" s="7" t="inlineStr">
        <is>
          <t>Performance</t>
        </is>
      </c>
      <c r="F391" s="7" t="inlineStr">
        <is>
          <t>S</t>
        </is>
      </c>
      <c r="G391" s="7" t="inlineStr">
        <is>
          <t>pink</t>
        </is>
      </c>
      <c r="H391" s="9" t="n">
        <v>10</v>
      </c>
      <c r="I391" s="9" t="n">
        <v>4</v>
      </c>
      <c r="J391" s="10" t="n">
        <v>3</v>
      </c>
      <c r="K391" s="10">
        <f>IFERROR(J391/30,0)</f>
        <v/>
      </c>
      <c r="L391" s="9" t="n">
        <v>0</v>
      </c>
      <c r="M391" s="11" t="n">
        <v>1</v>
      </c>
      <c r="N391" s="9" t="n">
        <v>0</v>
      </c>
      <c r="O391" s="9" t="n">
        <v>0</v>
      </c>
      <c r="P391" s="9" t="n">
        <v>0</v>
      </c>
      <c r="Q391" s="12" t="n">
        <v>0</v>
      </c>
      <c r="R391" s="12" t="n">
        <v>0</v>
      </c>
      <c r="S391" s="9">
        <f>H391+Q391-R391</f>
        <v/>
      </c>
      <c r="T391" s="12" t="n">
        <v>14</v>
      </c>
      <c r="U391" s="12" t="n">
        <v>7</v>
      </c>
      <c r="V391" s="12" t="n">
        <v>7</v>
      </c>
      <c r="W391" s="10">
        <f>K391*(T391+U391)</f>
        <v/>
      </c>
      <c r="X391" s="10">
        <f>K391*(T391+U391+V391)</f>
        <v/>
      </c>
      <c r="Y391" s="10">
        <f>IF(K391&gt;0,H391/K391,99999)</f>
        <v/>
      </c>
      <c r="Z391" s="8">
        <f>IF(AND(OR(L391&gt;=1,M391&lt;0.95),Y391&gt;120),"DATA CONFLICT - VERIFY",IF(OR(L391&gt;=1,M391&lt;0.95,Y391&lt;=14),"SERVICE / STOCKOUT REVIEW",IF(Y391&gt;120,"OVERSTOCK REVIEW",IF(S391&lt;=W391,"REPLENISHMENT REVIEW","NORMAL MONITORING"))))</f>
        <v/>
      </c>
      <c r="AA391" s="9">
        <f>IF(OR(Z391="DATA CONFLICT - VERIFY",Z391="SERVICE / STOCKOUT REVIEW"),0,IF(S391&lt;=W391,MAX(0,ROUNDUP(X391-S391,0)),0))</f>
        <v/>
      </c>
      <c r="AB391" s="8">
        <f>IF(Z391="DATA CONFLICT - VERIFY","P1 - DATA CONFLICT",IF(Z391="SERVICE / STOCKOUT REVIEW","P1 - SERVICE",IF(Z391="OVERSTOCK REVIEW","P2 - OVERSTOCK",IF(Z391="REPLENISHMENT REVIEW","P2 - REPLENISH","P3 - MONITOR"))))</f>
        <v/>
      </c>
      <c r="AC391" s="10" t="n">
        <v>7739.005135135135</v>
      </c>
      <c r="AD391" s="10" t="n">
        <v>4210.018793513513</v>
      </c>
      <c r="AE391" s="10">
        <f>IF(OR(AD391="",H391=""),"",H391*AD391)</f>
        <v/>
      </c>
    </row>
    <row r="392">
      <c r="A392" s="13" t="inlineStr">
        <is>
          <t>2022-12-31</t>
        </is>
      </c>
      <c r="B392" s="13" t="n">
        <v>2150</v>
      </c>
      <c r="C392" s="14" t="inlineStr">
        <is>
          <t>PhoenixWear UE-03</t>
        </is>
      </c>
      <c r="D392" s="14" t="inlineStr">
        <is>
          <t>Streetwear</t>
        </is>
      </c>
      <c r="E392" s="13" t="inlineStr">
        <is>
          <t>Performance</t>
        </is>
      </c>
      <c r="F392" s="13" t="inlineStr">
        <is>
          <t>L</t>
        </is>
      </c>
      <c r="G392" s="13" t="inlineStr">
        <is>
          <t>red</t>
        </is>
      </c>
      <c r="H392" s="15" t="n">
        <v>96</v>
      </c>
      <c r="I392" s="15" t="n">
        <v>1</v>
      </c>
      <c r="J392" s="16" t="n">
        <v>1.333333333333333</v>
      </c>
      <c r="K392" s="16">
        <f>IFERROR(J392/30,0)</f>
        <v/>
      </c>
      <c r="L392" s="15" t="n">
        <v>2</v>
      </c>
      <c r="M392" s="17" t="n">
        <v>0.9333</v>
      </c>
      <c r="N392" s="15" t="n">
        <v>1</v>
      </c>
      <c r="O392" s="15" t="n">
        <v>1</v>
      </c>
      <c r="P392" s="15" t="n">
        <v>0</v>
      </c>
      <c r="Q392" s="12" t="n">
        <v>0</v>
      </c>
      <c r="R392" s="12" t="n">
        <v>0</v>
      </c>
      <c r="S392" s="15">
        <f>H392+Q392-R392</f>
        <v/>
      </c>
      <c r="T392" s="12" t="n">
        <v>14</v>
      </c>
      <c r="U392" s="12" t="n">
        <v>7</v>
      </c>
      <c r="V392" s="12" t="n">
        <v>7</v>
      </c>
      <c r="W392" s="16">
        <f>K392*(T392+U392)</f>
        <v/>
      </c>
      <c r="X392" s="16">
        <f>K392*(T392+U392+V392)</f>
        <v/>
      </c>
      <c r="Y392" s="16">
        <f>IF(K392&gt;0,H392/K392,99999)</f>
        <v/>
      </c>
      <c r="Z392" s="14">
        <f>IF(AND(OR(L392&gt;=1,M392&lt;0.95),Y392&gt;120),"DATA CONFLICT - VERIFY",IF(OR(L392&gt;=1,M392&lt;0.95,Y392&lt;=14),"SERVICE / STOCKOUT REVIEW",IF(Y392&gt;120,"OVERSTOCK REVIEW",IF(S392&lt;=W392,"REPLENISHMENT REVIEW","NORMAL MONITORING"))))</f>
        <v/>
      </c>
      <c r="AA392" s="15">
        <f>IF(OR(Z392="DATA CONFLICT - VERIFY",Z392="SERVICE / STOCKOUT REVIEW"),0,IF(S392&lt;=W392,MAX(0,ROUNDUP(X392-S392,0)),0))</f>
        <v/>
      </c>
      <c r="AB392" s="14">
        <f>IF(Z392="DATA CONFLICT - VERIFY","P1 - DATA CONFLICT",IF(Z392="SERVICE / STOCKOUT REVIEW","P1 - SERVICE",IF(Z392="OVERSTOCK REVIEW","P2 - OVERSTOCK",IF(Z392="REPLENISHMENT REVIEW","P2 - REPLENISH","P3 - MONITOR"))))</f>
        <v/>
      </c>
      <c r="AC392" s="16" t="n">
        <v>5932.945301204819</v>
      </c>
      <c r="AD392" s="16" t="n">
        <v>4969.434984289157</v>
      </c>
      <c r="AE392" s="16">
        <f>IF(OR(AD392="",H392=""),"",H392*AD392)</f>
        <v/>
      </c>
    </row>
    <row r="393">
      <c r="A393" s="7" t="inlineStr">
        <is>
          <t>2022-12-31</t>
        </is>
      </c>
      <c r="B393" s="7" t="n">
        <v>2154</v>
      </c>
      <c r="C393" s="8" t="inlineStr">
        <is>
          <t>PhoenixWear UE-07</t>
        </is>
      </c>
      <c r="D393" s="8" t="inlineStr">
        <is>
          <t>Streetwear</t>
        </is>
      </c>
      <c r="E393" s="7" t="inlineStr">
        <is>
          <t>Performance</t>
        </is>
      </c>
      <c r="F393" s="7" t="inlineStr">
        <is>
          <t>L</t>
        </is>
      </c>
      <c r="G393" s="7" t="inlineStr">
        <is>
          <t>white</t>
        </is>
      </c>
      <c r="H393" s="9" t="n">
        <v>3</v>
      </c>
      <c r="I393" s="9" t="n">
        <v>1</v>
      </c>
      <c r="J393" s="10" t="n">
        <v>1.666666666666667</v>
      </c>
      <c r="K393" s="10">
        <f>IFERROR(J393/30,0)</f>
        <v/>
      </c>
      <c r="L393" s="9" t="n">
        <v>1</v>
      </c>
      <c r="M393" s="11" t="n">
        <v>0.9667</v>
      </c>
      <c r="N393" s="9" t="n">
        <v>1</v>
      </c>
      <c r="O393" s="9" t="n">
        <v>0</v>
      </c>
      <c r="P393" s="9" t="n">
        <v>0</v>
      </c>
      <c r="Q393" s="12" t="n">
        <v>0</v>
      </c>
      <c r="R393" s="12" t="n">
        <v>0</v>
      </c>
      <c r="S393" s="9">
        <f>H393+Q393-R393</f>
        <v/>
      </c>
      <c r="T393" s="12" t="n">
        <v>14</v>
      </c>
      <c r="U393" s="12" t="n">
        <v>7</v>
      </c>
      <c r="V393" s="12" t="n">
        <v>7</v>
      </c>
      <c r="W393" s="10">
        <f>K393*(T393+U393)</f>
        <v/>
      </c>
      <c r="X393" s="10">
        <f>K393*(T393+U393+V393)</f>
        <v/>
      </c>
      <c r="Y393" s="10">
        <f>IF(K393&gt;0,H393/K393,99999)</f>
        <v/>
      </c>
      <c r="Z393" s="8">
        <f>IF(AND(OR(L393&gt;=1,M393&lt;0.95),Y393&gt;120),"DATA CONFLICT - VERIFY",IF(OR(L393&gt;=1,M393&lt;0.95,Y393&lt;=14),"SERVICE / STOCKOUT REVIEW",IF(Y393&gt;120,"OVERSTOCK REVIEW",IF(S393&lt;=W393,"REPLENISHMENT REVIEW","NORMAL MONITORING"))))</f>
        <v/>
      </c>
      <c r="AA393" s="9">
        <f>IF(OR(Z393="DATA CONFLICT - VERIFY",Z393="SERVICE / STOCKOUT REVIEW"),0,IF(S393&lt;=W393,MAX(0,ROUNDUP(X393-S393,0)),0))</f>
        <v/>
      </c>
      <c r="AB393" s="8">
        <f>IF(Z393="DATA CONFLICT - VERIFY","P1 - DATA CONFLICT",IF(Z393="SERVICE / STOCKOUT REVIEW","P1 - SERVICE",IF(Z393="OVERSTOCK REVIEW","P2 - OVERSTOCK",IF(Z393="REPLENISHMENT REVIEW","P2 - REPLENISH","P3 - MONITOR"))))</f>
        <v/>
      </c>
      <c r="AC393" s="10" t="n">
        <v>10009.10076923077</v>
      </c>
      <c r="AD393" s="10" t="n">
        <v>5308.827048</v>
      </c>
      <c r="AE393" s="10">
        <f>IF(OR(AD393="",H393=""),"",H393*AD393)</f>
        <v/>
      </c>
    </row>
    <row r="394">
      <c r="A394" s="13" t="inlineStr">
        <is>
          <t>2022-12-31</t>
        </is>
      </c>
      <c r="B394" s="13" t="n">
        <v>2165</v>
      </c>
      <c r="C394" s="14" t="inlineStr">
        <is>
          <t>PhoenixWear UE-18</t>
        </is>
      </c>
      <c r="D394" s="14" t="inlineStr">
        <is>
          <t>Streetwear</t>
        </is>
      </c>
      <c r="E394" s="13" t="inlineStr">
        <is>
          <t>Performance</t>
        </is>
      </c>
      <c r="F394" s="13" t="inlineStr">
        <is>
          <t>M</t>
        </is>
      </c>
      <c r="G394" s="13" t="inlineStr">
        <is>
          <t>purple</t>
        </is>
      </c>
      <c r="H394" s="15" t="n">
        <v>4</v>
      </c>
      <c r="I394" s="15" t="n">
        <v>2</v>
      </c>
      <c r="J394" s="16" t="n">
        <v>1.666666666666667</v>
      </c>
      <c r="K394" s="16">
        <f>IFERROR(J394/30,0)</f>
        <v/>
      </c>
      <c r="L394" s="15" t="n">
        <v>1</v>
      </c>
      <c r="M394" s="17" t="n">
        <v>0.9667</v>
      </c>
      <c r="N394" s="15" t="n">
        <v>1</v>
      </c>
      <c r="O394" s="15" t="n">
        <v>0</v>
      </c>
      <c r="P394" s="15" t="n">
        <v>0</v>
      </c>
      <c r="Q394" s="12" t="n">
        <v>0</v>
      </c>
      <c r="R394" s="12" t="n">
        <v>0</v>
      </c>
      <c r="S394" s="15">
        <f>H394+Q394-R394</f>
        <v/>
      </c>
      <c r="T394" s="12" t="n">
        <v>14</v>
      </c>
      <c r="U394" s="12" t="n">
        <v>7</v>
      </c>
      <c r="V394" s="12" t="n">
        <v>7</v>
      </c>
      <c r="W394" s="16">
        <f>K394*(T394+U394)</f>
        <v/>
      </c>
      <c r="X394" s="16">
        <f>K394*(T394+U394+V394)</f>
        <v/>
      </c>
      <c r="Y394" s="16">
        <f>IF(K394&gt;0,H394/K394,99999)</f>
        <v/>
      </c>
      <c r="Z394" s="14">
        <f>IF(AND(OR(L394&gt;=1,M394&lt;0.95),Y394&gt;120),"DATA CONFLICT - VERIFY",IF(OR(L394&gt;=1,M394&lt;0.95,Y394&lt;=14),"SERVICE / STOCKOUT REVIEW",IF(Y394&gt;120,"OVERSTOCK REVIEW",IF(S394&lt;=W394,"REPLENISHMENT REVIEW","NORMAL MONITORING"))))</f>
        <v/>
      </c>
      <c r="AA394" s="15">
        <f>IF(OR(Z394="DATA CONFLICT - VERIFY",Z394="SERVICE / STOCKOUT REVIEW"),0,IF(S394&lt;=W394,MAX(0,ROUNDUP(X394-S394,0)),0))</f>
        <v/>
      </c>
      <c r="AB394" s="14">
        <f>IF(Z394="DATA CONFLICT - VERIFY","P1 - DATA CONFLICT",IF(Z394="SERVICE / STOCKOUT REVIEW","P1 - SERVICE",IF(Z394="OVERSTOCK REVIEW","P2 - OVERSTOCK",IF(Z394="REPLENISHMENT REVIEW","P2 - REPLENISH","P3 - MONITOR"))))</f>
        <v/>
      </c>
      <c r="AC394" s="16" t="n">
        <v>7994.642727272727</v>
      </c>
      <c r="AD394" s="16" t="n">
        <v>6223.829363181818</v>
      </c>
      <c r="AE394" s="16">
        <f>IF(OR(AD394="",H394=""),"",H394*AD394)</f>
        <v/>
      </c>
    </row>
    <row r="395">
      <c r="A395" s="7" t="inlineStr">
        <is>
          <t>2022-12-31</t>
        </is>
      </c>
      <c r="B395" s="7" t="n">
        <v>2173</v>
      </c>
      <c r="C395" s="8" t="inlineStr">
        <is>
          <t>PhoenixWear UC-03</t>
        </is>
      </c>
      <c r="D395" s="8" t="inlineStr">
        <is>
          <t>Streetwear</t>
        </is>
      </c>
      <c r="E395" s="7" t="inlineStr">
        <is>
          <t>Everyday</t>
        </is>
      </c>
      <c r="F395" s="7" t="inlineStr">
        <is>
          <t>M</t>
        </is>
      </c>
      <c r="G395" s="7" t="inlineStr">
        <is>
          <t>blue</t>
        </is>
      </c>
      <c r="H395" s="9" t="n">
        <v>11</v>
      </c>
      <c r="I395" s="9" t="n">
        <v>3</v>
      </c>
      <c r="J395" s="10" t="n">
        <v>1.666666666666667</v>
      </c>
      <c r="K395" s="10">
        <f>IFERROR(J395/30,0)</f>
        <v/>
      </c>
      <c r="L395" s="9" t="n">
        <v>0</v>
      </c>
      <c r="M395" s="11" t="n">
        <v>1</v>
      </c>
      <c r="N395" s="9" t="n">
        <v>0</v>
      </c>
      <c r="O395" s="9" t="n">
        <v>1</v>
      </c>
      <c r="P395" s="9" t="n">
        <v>0</v>
      </c>
      <c r="Q395" s="12" t="n">
        <v>0</v>
      </c>
      <c r="R395" s="12" t="n">
        <v>0</v>
      </c>
      <c r="S395" s="9">
        <f>H395+Q395-R395</f>
        <v/>
      </c>
      <c r="T395" s="12" t="n">
        <v>14</v>
      </c>
      <c r="U395" s="12" t="n">
        <v>7</v>
      </c>
      <c r="V395" s="12" t="n">
        <v>7</v>
      </c>
      <c r="W395" s="10">
        <f>K395*(T395+U395)</f>
        <v/>
      </c>
      <c r="X395" s="10">
        <f>K395*(T395+U395+V395)</f>
        <v/>
      </c>
      <c r="Y395" s="10">
        <f>IF(K395&gt;0,H395/K395,99999)</f>
        <v/>
      </c>
      <c r="Z395" s="8">
        <f>IF(AND(OR(L395&gt;=1,M395&lt;0.95),Y395&gt;120),"DATA CONFLICT - VERIFY",IF(OR(L395&gt;=1,M395&lt;0.95,Y395&lt;=14),"SERVICE / STOCKOUT REVIEW",IF(Y395&gt;120,"OVERSTOCK REVIEW",IF(S395&lt;=W395,"REPLENISHMENT REVIEW","NORMAL MONITORING"))))</f>
        <v/>
      </c>
      <c r="AA395" s="9">
        <f>IF(OR(Z395="DATA CONFLICT - VERIFY",Z395="SERVICE / STOCKOUT REVIEW"),0,IF(S395&lt;=W395,MAX(0,ROUNDUP(X395-S395,0)),0))</f>
        <v/>
      </c>
      <c r="AB395" s="8">
        <f>IF(Z395="DATA CONFLICT - VERIFY","P1 - DATA CONFLICT",IF(Z395="SERVICE / STOCKOUT REVIEW","P1 - SERVICE",IF(Z395="OVERSTOCK REVIEW","P2 - OVERSTOCK",IF(Z395="REPLENISHMENT REVIEW","P2 - REPLENISH","P3 - MONITOR"))))</f>
        <v/>
      </c>
      <c r="AC395" s="10" t="n">
        <v>9084.633157894736</v>
      </c>
      <c r="AD395" s="10" t="n">
        <v>6667.212274578948</v>
      </c>
      <c r="AE395" s="10">
        <f>IF(OR(AD395="",H395=""),"",H395*AD395)</f>
        <v/>
      </c>
    </row>
    <row r="396">
      <c r="A396" s="13" t="inlineStr">
        <is>
          <t>2022-12-31</t>
        </is>
      </c>
      <c r="B396" s="13" t="n">
        <v>2180</v>
      </c>
      <c r="C396" s="14" t="inlineStr">
        <is>
          <t>PhoenixWear UC-10</t>
        </is>
      </c>
      <c r="D396" s="14" t="inlineStr">
        <is>
          <t>Streetwear</t>
        </is>
      </c>
      <c r="E396" s="13" t="inlineStr">
        <is>
          <t>Everyday</t>
        </is>
      </c>
      <c r="F396" s="13" t="inlineStr">
        <is>
          <t>S</t>
        </is>
      </c>
      <c r="G396" s="13" t="inlineStr">
        <is>
          <t>red</t>
        </is>
      </c>
      <c r="H396" s="15" t="n">
        <v>104</v>
      </c>
      <c r="I396" s="15" t="n">
        <v>1</v>
      </c>
      <c r="J396" s="16" t="n">
        <v>1.666666666666667</v>
      </c>
      <c r="K396" s="16">
        <f>IFERROR(J396/30,0)</f>
        <v/>
      </c>
      <c r="L396" s="15" t="n">
        <v>0</v>
      </c>
      <c r="M396" s="17" t="n">
        <v>1</v>
      </c>
      <c r="N396" s="15" t="n">
        <v>0</v>
      </c>
      <c r="O396" s="15" t="n">
        <v>1</v>
      </c>
      <c r="P396" s="15" t="n">
        <v>0</v>
      </c>
      <c r="Q396" s="12" t="n">
        <v>0</v>
      </c>
      <c r="R396" s="12" t="n">
        <v>0</v>
      </c>
      <c r="S396" s="15">
        <f>H396+Q396-R396</f>
        <v/>
      </c>
      <c r="T396" s="12" t="n">
        <v>14</v>
      </c>
      <c r="U396" s="12" t="n">
        <v>7</v>
      </c>
      <c r="V396" s="12" t="n">
        <v>7</v>
      </c>
      <c r="W396" s="16">
        <f>K396*(T396+U396)</f>
        <v/>
      </c>
      <c r="X396" s="16">
        <f>K396*(T396+U396+V396)</f>
        <v/>
      </c>
      <c r="Y396" s="16">
        <f>IF(K396&gt;0,H396/K396,99999)</f>
        <v/>
      </c>
      <c r="Z396" s="14">
        <f>IF(AND(OR(L396&gt;=1,M396&lt;0.95),Y396&gt;120),"DATA CONFLICT - VERIFY",IF(OR(L396&gt;=1,M396&lt;0.95,Y396&lt;=14),"SERVICE / STOCKOUT REVIEW",IF(Y396&gt;120,"OVERSTOCK REVIEW",IF(S396&lt;=W396,"REPLENISHMENT REVIEW","NORMAL MONITORING"))))</f>
        <v/>
      </c>
      <c r="AA396" s="15">
        <f>IF(OR(Z396="DATA CONFLICT - VERIFY",Z396="SERVICE / STOCKOUT REVIEW"),0,IF(S396&lt;=W396,MAX(0,ROUNDUP(X396-S396,0)),0))</f>
        <v/>
      </c>
      <c r="AB396" s="14">
        <f>IF(Z396="DATA CONFLICT - VERIFY","P1 - DATA CONFLICT",IF(Z396="SERVICE / STOCKOUT REVIEW","P1 - SERVICE",IF(Z396="OVERSTOCK REVIEW","P2 - OVERSTOCK",IF(Z396="REPLENISHMENT REVIEW","P2 - REPLENISH","P3 - MONITOR"))))</f>
        <v/>
      </c>
      <c r="AC396" s="16" t="n">
        <v>5147.283148371532</v>
      </c>
      <c r="AD396" s="16" t="n">
        <v>4889.918990952955</v>
      </c>
      <c r="AE396" s="16">
        <f>IF(OR(AD396="",H396=""),"",H396*AD396)</f>
        <v/>
      </c>
    </row>
    <row r="397">
      <c r="A397" s="7" t="inlineStr">
        <is>
          <t>2022-12-31</t>
        </is>
      </c>
      <c r="B397" s="7" t="n">
        <v>2183</v>
      </c>
      <c r="C397" s="8" t="inlineStr">
        <is>
          <t>PhoenixWear UC-13</t>
        </is>
      </c>
      <c r="D397" s="8" t="inlineStr">
        <is>
          <t>Streetwear</t>
        </is>
      </c>
      <c r="E397" s="7" t="inlineStr">
        <is>
          <t>Everyday</t>
        </is>
      </c>
      <c r="F397" s="7" t="inlineStr">
        <is>
          <t>XL</t>
        </is>
      </c>
      <c r="G397" s="7" t="inlineStr">
        <is>
          <t>blue</t>
        </is>
      </c>
      <c r="H397" s="9" t="n">
        <v>21</v>
      </c>
      <c r="I397" s="9" t="n">
        <v>2</v>
      </c>
      <c r="J397" s="10" t="n">
        <v>2.666666666666667</v>
      </c>
      <c r="K397" s="10">
        <f>IFERROR(J397/30,0)</f>
        <v/>
      </c>
      <c r="L397" s="9" t="n">
        <v>1</v>
      </c>
      <c r="M397" s="11" t="n">
        <v>0.9667</v>
      </c>
      <c r="N397" s="9" t="n">
        <v>1</v>
      </c>
      <c r="O397" s="9" t="n">
        <v>1</v>
      </c>
      <c r="P397" s="9" t="n">
        <v>0</v>
      </c>
      <c r="Q397" s="12" t="n">
        <v>0</v>
      </c>
      <c r="R397" s="12" t="n">
        <v>0</v>
      </c>
      <c r="S397" s="9">
        <f>H397+Q397-R397</f>
        <v/>
      </c>
      <c r="T397" s="12" t="n">
        <v>14</v>
      </c>
      <c r="U397" s="12" t="n">
        <v>7</v>
      </c>
      <c r="V397" s="12" t="n">
        <v>7</v>
      </c>
      <c r="W397" s="10">
        <f>K397*(T397+U397)</f>
        <v/>
      </c>
      <c r="X397" s="10">
        <f>K397*(T397+U397+V397)</f>
        <v/>
      </c>
      <c r="Y397" s="10">
        <f>IF(K397&gt;0,H397/K397,99999)</f>
        <v/>
      </c>
      <c r="Z397" s="8">
        <f>IF(AND(OR(L397&gt;=1,M397&lt;0.95),Y397&gt;120),"DATA CONFLICT - VERIFY",IF(OR(L397&gt;=1,M397&lt;0.95,Y397&lt;=14),"SERVICE / STOCKOUT REVIEW",IF(Y397&gt;120,"OVERSTOCK REVIEW",IF(S397&lt;=W397,"REPLENISHMENT REVIEW","NORMAL MONITORING"))))</f>
        <v/>
      </c>
      <c r="AA397" s="9">
        <f>IF(OR(Z397="DATA CONFLICT - VERIFY",Z397="SERVICE / STOCKOUT REVIEW"),0,IF(S397&lt;=W397,MAX(0,ROUNDUP(X397-S397,0)),0))</f>
        <v/>
      </c>
      <c r="AB397" s="8">
        <f>IF(Z397="DATA CONFLICT - VERIFY","P1 - DATA CONFLICT",IF(Z397="SERVICE / STOCKOUT REVIEW","P1 - SERVICE",IF(Z397="OVERSTOCK REVIEW","P2 - OVERSTOCK",IF(Z397="REPLENISHMENT REVIEW","P2 - REPLENISH","P3 - MONITOR"))))</f>
        <v/>
      </c>
      <c r="AC397" s="10" t="n">
        <v>8685.852954545455</v>
      </c>
      <c r="AD397" s="10" t="n">
        <v>8251.560306818181</v>
      </c>
      <c r="AE397" s="10">
        <f>IF(OR(AD397="",H397=""),"",H397*AD397)</f>
        <v/>
      </c>
    </row>
    <row r="398">
      <c r="A398" s="13" t="inlineStr">
        <is>
          <t>2022-12-31</t>
        </is>
      </c>
      <c r="B398" s="13" t="n">
        <v>2186</v>
      </c>
      <c r="C398" s="14" t="inlineStr">
        <is>
          <t>PhoenixWear UC-16</t>
        </is>
      </c>
      <c r="D398" s="14" t="inlineStr">
        <is>
          <t>Streetwear</t>
        </is>
      </c>
      <c r="E398" s="13" t="inlineStr">
        <is>
          <t>Everyday</t>
        </is>
      </c>
      <c r="F398" s="13" t="inlineStr">
        <is>
          <t>L</t>
        </is>
      </c>
      <c r="G398" s="13" t="inlineStr">
        <is>
          <t>green</t>
        </is>
      </c>
      <c r="H398" s="15" t="n">
        <v>12</v>
      </c>
      <c r="I398" s="15" t="n">
        <v>1</v>
      </c>
      <c r="J398" s="16" t="n">
        <v>1</v>
      </c>
      <c r="K398" s="16">
        <f>IFERROR(J398/30,0)</f>
        <v/>
      </c>
      <c r="L398" s="15" t="n">
        <v>2</v>
      </c>
      <c r="M398" s="17" t="n">
        <v>0.9333</v>
      </c>
      <c r="N398" s="15" t="n">
        <v>1</v>
      </c>
      <c r="O398" s="15" t="n">
        <v>1</v>
      </c>
      <c r="P398" s="15" t="n">
        <v>0</v>
      </c>
      <c r="Q398" s="12" t="n">
        <v>0</v>
      </c>
      <c r="R398" s="12" t="n">
        <v>0</v>
      </c>
      <c r="S398" s="15">
        <f>H398+Q398-R398</f>
        <v/>
      </c>
      <c r="T398" s="12" t="n">
        <v>14</v>
      </c>
      <c r="U398" s="12" t="n">
        <v>7</v>
      </c>
      <c r="V398" s="12" t="n">
        <v>7</v>
      </c>
      <c r="W398" s="16">
        <f>K398*(T398+U398)</f>
        <v/>
      </c>
      <c r="X398" s="16">
        <f>K398*(T398+U398+V398)</f>
        <v/>
      </c>
      <c r="Y398" s="16">
        <f>IF(K398&gt;0,H398/K398,99999)</f>
        <v/>
      </c>
      <c r="Z398" s="14">
        <f>IF(AND(OR(L398&gt;=1,M398&lt;0.95),Y398&gt;120),"DATA CONFLICT - VERIFY",IF(OR(L398&gt;=1,M398&lt;0.95,Y398&lt;=14),"SERVICE / STOCKOUT REVIEW",IF(Y398&gt;120,"OVERSTOCK REVIEW",IF(S398&lt;=W398,"REPLENISHMENT REVIEW","NORMAL MONITORING"))))</f>
        <v/>
      </c>
      <c r="AA398" s="15">
        <f>IF(OR(Z398="DATA CONFLICT - VERIFY",Z398="SERVICE / STOCKOUT REVIEW"),0,IF(S398&lt;=W398,MAX(0,ROUNDUP(X398-S398,0)),0))</f>
        <v/>
      </c>
      <c r="AB398" s="14">
        <f>IF(Z398="DATA CONFLICT - VERIFY","P1 - DATA CONFLICT",IF(Z398="SERVICE / STOCKOUT REVIEW","P1 - SERVICE",IF(Z398="OVERSTOCK REVIEW","P2 - OVERSTOCK",IF(Z398="REPLENISHMENT REVIEW","P2 - REPLENISH","P3 - MONITOR"))))</f>
        <v/>
      </c>
      <c r="AC398" s="16" t="n">
        <v>5332.645862068965</v>
      </c>
      <c r="AD398" s="16" t="n">
        <v>4611.672141517241</v>
      </c>
      <c r="AE398" s="16">
        <f>IF(OR(AD398="",H398=""),"",H398*AD398)</f>
        <v/>
      </c>
    </row>
    <row r="399">
      <c r="A399" s="7" t="inlineStr">
        <is>
          <t>2022-12-31</t>
        </is>
      </c>
      <c r="B399" s="7" t="n">
        <v>2286</v>
      </c>
      <c r="C399" s="8" t="inlineStr">
        <is>
          <t>VietMotion UM-01</t>
        </is>
      </c>
      <c r="D399" s="8" t="inlineStr">
        <is>
          <t>Streetwear</t>
        </is>
      </c>
      <c r="E399" s="7" t="inlineStr">
        <is>
          <t>Balanced</t>
        </is>
      </c>
      <c r="F399" s="7" t="inlineStr">
        <is>
          <t>L</t>
        </is>
      </c>
      <c r="G399" s="7" t="inlineStr">
        <is>
          <t>green</t>
        </is>
      </c>
      <c r="H399" s="9" t="n">
        <v>171</v>
      </c>
      <c r="I399" s="9" t="n">
        <v>7</v>
      </c>
      <c r="J399" s="10" t="n">
        <v>5</v>
      </c>
      <c r="K399" s="10">
        <f>IFERROR(J399/30,0)</f>
        <v/>
      </c>
      <c r="L399" s="9" t="n">
        <v>0</v>
      </c>
      <c r="M399" s="11" t="n">
        <v>1</v>
      </c>
      <c r="N399" s="9" t="n">
        <v>0</v>
      </c>
      <c r="O399" s="9" t="n">
        <v>1</v>
      </c>
      <c r="P399" s="9" t="n">
        <v>0</v>
      </c>
      <c r="Q399" s="12" t="n">
        <v>0</v>
      </c>
      <c r="R399" s="12" t="n">
        <v>0</v>
      </c>
      <c r="S399" s="9">
        <f>H399+Q399-R399</f>
        <v/>
      </c>
      <c r="T399" s="12" t="n">
        <v>14</v>
      </c>
      <c r="U399" s="12" t="n">
        <v>7</v>
      </c>
      <c r="V399" s="12" t="n">
        <v>7</v>
      </c>
      <c r="W399" s="10">
        <f>K399*(T399+U399)</f>
        <v/>
      </c>
      <c r="X399" s="10">
        <f>K399*(T399+U399+V399)</f>
        <v/>
      </c>
      <c r="Y399" s="10">
        <f>IF(K399&gt;0,H399/K399,99999)</f>
        <v/>
      </c>
      <c r="Z399" s="8">
        <f>IF(AND(OR(L399&gt;=1,M399&lt;0.95),Y399&gt;120),"DATA CONFLICT - VERIFY",IF(OR(L399&gt;=1,M399&lt;0.95,Y399&lt;=14),"SERVICE / STOCKOUT REVIEW",IF(Y399&gt;120,"OVERSTOCK REVIEW",IF(S399&lt;=W399,"REPLENISHMENT REVIEW","NORMAL MONITORING"))))</f>
        <v/>
      </c>
      <c r="AA399" s="9">
        <f>IF(OR(Z399="DATA CONFLICT - VERIFY",Z399="SERVICE / STOCKOUT REVIEW"),0,IF(S399&lt;=W399,MAX(0,ROUNDUP(X399-S399,0)),0))</f>
        <v/>
      </c>
      <c r="AB399" s="8">
        <f>IF(Z399="DATA CONFLICT - VERIFY","P1 - DATA CONFLICT",IF(Z399="SERVICE / STOCKOUT REVIEW","P1 - SERVICE",IF(Z399="OVERSTOCK REVIEW","P2 - OVERSTOCK",IF(Z399="REPLENISHMENT REVIEW","P2 - REPLENISH","P3 - MONITOR"))))</f>
        <v/>
      </c>
      <c r="AC399" s="10" t="n">
        <v>8937.973131935883</v>
      </c>
      <c r="AD399" s="10" t="n">
        <v>8294.439066436498</v>
      </c>
      <c r="AE399" s="10">
        <f>IF(OR(AD399="",H399=""),"",H399*AD399)</f>
        <v/>
      </c>
    </row>
    <row r="400">
      <c r="A400" s="13" t="inlineStr">
        <is>
          <t>2022-12-31</t>
        </is>
      </c>
      <c r="B400" s="13" t="n">
        <v>2291</v>
      </c>
      <c r="C400" s="14" t="inlineStr">
        <is>
          <t>VietMotion UM-06</t>
        </is>
      </c>
      <c r="D400" s="14" t="inlineStr">
        <is>
          <t>Streetwear</t>
        </is>
      </c>
      <c r="E400" s="13" t="inlineStr">
        <is>
          <t>Balanced</t>
        </is>
      </c>
      <c r="F400" s="13" t="inlineStr">
        <is>
          <t>XL</t>
        </is>
      </c>
      <c r="G400" s="13" t="inlineStr">
        <is>
          <t>black</t>
        </is>
      </c>
      <c r="H400" s="15" t="n">
        <v>11</v>
      </c>
      <c r="I400" s="15" t="n">
        <v>1</v>
      </c>
      <c r="J400" s="16" t="n">
        <v>1.333333333333333</v>
      </c>
      <c r="K400" s="16">
        <f>IFERROR(J400/30,0)</f>
        <v/>
      </c>
      <c r="L400" s="15" t="n">
        <v>0</v>
      </c>
      <c r="M400" s="17" t="n">
        <v>1</v>
      </c>
      <c r="N400" s="15" t="n">
        <v>0</v>
      </c>
      <c r="O400" s="15" t="n">
        <v>1</v>
      </c>
      <c r="P400" s="15" t="n">
        <v>0</v>
      </c>
      <c r="Q400" s="12" t="n">
        <v>0</v>
      </c>
      <c r="R400" s="12" t="n">
        <v>0</v>
      </c>
      <c r="S400" s="15">
        <f>H400+Q400-R400</f>
        <v/>
      </c>
      <c r="T400" s="12" t="n">
        <v>14</v>
      </c>
      <c r="U400" s="12" t="n">
        <v>7</v>
      </c>
      <c r="V400" s="12" t="n">
        <v>7</v>
      </c>
      <c r="W400" s="16">
        <f>K400*(T400+U400)</f>
        <v/>
      </c>
      <c r="X400" s="16">
        <f>K400*(T400+U400+V400)</f>
        <v/>
      </c>
      <c r="Y400" s="16">
        <f>IF(K400&gt;0,H400/K400,99999)</f>
        <v/>
      </c>
      <c r="Z400" s="14">
        <f>IF(AND(OR(L400&gt;=1,M400&lt;0.95),Y400&gt;120),"DATA CONFLICT - VERIFY",IF(OR(L400&gt;=1,M400&lt;0.95,Y400&lt;=14),"SERVICE / STOCKOUT REVIEW",IF(Y400&gt;120,"OVERSTOCK REVIEW",IF(S400&lt;=W400,"REPLENISHMENT REVIEW","NORMAL MONITORING"))))</f>
        <v/>
      </c>
      <c r="AA400" s="15">
        <f>IF(OR(Z400="DATA CONFLICT - VERIFY",Z400="SERVICE / STOCKOUT REVIEW"),0,IF(S400&lt;=W400,MAX(0,ROUNDUP(X400-S400,0)),0))</f>
        <v/>
      </c>
      <c r="AB400" s="14">
        <f>IF(Z400="DATA CONFLICT - VERIFY","P1 - DATA CONFLICT",IF(Z400="SERVICE / STOCKOUT REVIEW","P1 - SERVICE",IF(Z400="OVERSTOCK REVIEW","P2 - OVERSTOCK",IF(Z400="REPLENISHMENT REVIEW","P2 - REPLENISH","P3 - MONITOR"))))</f>
        <v/>
      </c>
      <c r="AC400" s="16" t="n">
        <v>11018.7</v>
      </c>
      <c r="AD400" s="16" t="n">
        <v>7937.87148</v>
      </c>
      <c r="AE400" s="16">
        <f>IF(OR(AD400="",H400=""),"",H400*AD400)</f>
        <v/>
      </c>
    </row>
    <row r="401">
      <c r="A401" s="7" t="inlineStr">
        <is>
          <t>2022-12-31</t>
        </is>
      </c>
      <c r="B401" s="7" t="n">
        <v>2293</v>
      </c>
      <c r="C401" s="8" t="inlineStr">
        <is>
          <t>VietMotion UM-08</t>
        </is>
      </c>
      <c r="D401" s="8" t="inlineStr">
        <is>
          <t>Streetwear</t>
        </is>
      </c>
      <c r="E401" s="7" t="inlineStr">
        <is>
          <t>Balanced</t>
        </is>
      </c>
      <c r="F401" s="7" t="inlineStr">
        <is>
          <t>M</t>
        </is>
      </c>
      <c r="G401" s="7" t="inlineStr">
        <is>
          <t>blue</t>
        </is>
      </c>
      <c r="H401" s="9" t="n">
        <v>22</v>
      </c>
      <c r="I401" s="9" t="n">
        <v>1</v>
      </c>
      <c r="J401" s="10" t="n">
        <v>1</v>
      </c>
      <c r="K401" s="10">
        <f>IFERROR(J401/30,0)</f>
        <v/>
      </c>
      <c r="L401" s="9" t="n">
        <v>1</v>
      </c>
      <c r="M401" s="11" t="n">
        <v>0.9667</v>
      </c>
      <c r="N401" s="9" t="n">
        <v>1</v>
      </c>
      <c r="O401" s="9" t="n">
        <v>1</v>
      </c>
      <c r="P401" s="9" t="n">
        <v>0</v>
      </c>
      <c r="Q401" s="12" t="n">
        <v>0</v>
      </c>
      <c r="R401" s="12" t="n">
        <v>0</v>
      </c>
      <c r="S401" s="9">
        <f>H401+Q401-R401</f>
        <v/>
      </c>
      <c r="T401" s="12" t="n">
        <v>14</v>
      </c>
      <c r="U401" s="12" t="n">
        <v>7</v>
      </c>
      <c r="V401" s="12" t="n">
        <v>7</v>
      </c>
      <c r="W401" s="10">
        <f>K401*(T401+U401)</f>
        <v/>
      </c>
      <c r="X401" s="10">
        <f>K401*(T401+U401+V401)</f>
        <v/>
      </c>
      <c r="Y401" s="10">
        <f>IF(K401&gt;0,H401/K401,99999)</f>
        <v/>
      </c>
      <c r="Z401" s="8">
        <f>IF(AND(OR(L401&gt;=1,M401&lt;0.95),Y401&gt;120),"DATA CONFLICT - VERIFY",IF(OR(L401&gt;=1,M401&lt;0.95,Y401&lt;=14),"SERVICE / STOCKOUT REVIEW",IF(Y401&gt;120,"OVERSTOCK REVIEW",IF(S401&lt;=W401,"REPLENISHMENT REVIEW","NORMAL MONITORING"))))</f>
        <v/>
      </c>
      <c r="AA401" s="9">
        <f>IF(OR(Z401="DATA CONFLICT - VERIFY",Z401="SERVICE / STOCKOUT REVIEW"),0,IF(S401&lt;=W401,MAX(0,ROUNDUP(X401-S401,0)),0))</f>
        <v/>
      </c>
      <c r="AB401" s="8">
        <f>IF(Z401="DATA CONFLICT - VERIFY","P1 - DATA CONFLICT",IF(Z401="SERVICE / STOCKOUT REVIEW","P1 - SERVICE",IF(Z401="OVERSTOCK REVIEW","P2 - OVERSTOCK",IF(Z401="REPLENISHMENT REVIEW","P2 - REPLENISH","P3 - MONITOR"))))</f>
        <v/>
      </c>
      <c r="AC401" s="10" t="n">
        <v>9638.370000000001</v>
      </c>
      <c r="AD401" s="10" t="n">
        <v>9156.451499999999</v>
      </c>
      <c r="AE401" s="10">
        <f>IF(OR(AD401="",H401=""),"",H401*AD401)</f>
        <v/>
      </c>
    </row>
    <row r="402">
      <c r="A402" s="13" t="inlineStr">
        <is>
          <t>2022-12-31</t>
        </is>
      </c>
      <c r="B402" s="13" t="n">
        <v>2331</v>
      </c>
      <c r="C402" s="14" t="inlineStr">
        <is>
          <t>VietMotion UE-05</t>
        </is>
      </c>
      <c r="D402" s="14" t="inlineStr">
        <is>
          <t>Streetwear</t>
        </is>
      </c>
      <c r="E402" s="13" t="inlineStr">
        <is>
          <t>Performance</t>
        </is>
      </c>
      <c r="F402" s="13" t="inlineStr">
        <is>
          <t>XL</t>
        </is>
      </c>
      <c r="G402" s="13" t="inlineStr">
        <is>
          <t>black</t>
        </is>
      </c>
      <c r="H402" s="15" t="n">
        <v>1489</v>
      </c>
      <c r="I402" s="15" t="n">
        <v>10</v>
      </c>
      <c r="J402" s="16" t="n">
        <v>14.66666666666667</v>
      </c>
      <c r="K402" s="16">
        <f>IFERROR(J402/30,0)</f>
        <v/>
      </c>
      <c r="L402" s="15" t="n">
        <v>2</v>
      </c>
      <c r="M402" s="17" t="n">
        <v>0.9333</v>
      </c>
      <c r="N402" s="15" t="n">
        <v>1</v>
      </c>
      <c r="O402" s="15" t="n">
        <v>1</v>
      </c>
      <c r="P402" s="15" t="n">
        <v>0</v>
      </c>
      <c r="Q402" s="12" t="n">
        <v>0</v>
      </c>
      <c r="R402" s="12" t="n">
        <v>0</v>
      </c>
      <c r="S402" s="15">
        <f>H402+Q402-R402</f>
        <v/>
      </c>
      <c r="T402" s="12" t="n">
        <v>14</v>
      </c>
      <c r="U402" s="12" t="n">
        <v>7</v>
      </c>
      <c r="V402" s="12" t="n">
        <v>7</v>
      </c>
      <c r="W402" s="16">
        <f>K402*(T402+U402)</f>
        <v/>
      </c>
      <c r="X402" s="16">
        <f>K402*(T402+U402+V402)</f>
        <v/>
      </c>
      <c r="Y402" s="16">
        <f>IF(K402&gt;0,H402/K402,99999)</f>
        <v/>
      </c>
      <c r="Z402" s="14">
        <f>IF(AND(OR(L402&gt;=1,M402&lt;0.95),Y402&gt;120),"DATA CONFLICT - VERIFY",IF(OR(L402&gt;=1,M402&lt;0.95,Y402&lt;=14),"SERVICE / STOCKOUT REVIEW",IF(Y402&gt;120,"OVERSTOCK REVIEW",IF(S402&lt;=W402,"REPLENISHMENT REVIEW","NORMAL MONITORING"))))</f>
        <v/>
      </c>
      <c r="AA402" s="15">
        <f>IF(OR(Z402="DATA CONFLICT - VERIFY",Z402="SERVICE / STOCKOUT REVIEW"),0,IF(S402&lt;=W402,MAX(0,ROUNDUP(X402-S402,0)),0))</f>
        <v/>
      </c>
      <c r="AB402" s="14">
        <f>IF(Z402="DATA CONFLICT - VERIFY","P1 - DATA CONFLICT",IF(Z402="SERVICE / STOCKOUT REVIEW","P1 - SERVICE",IF(Z402="OVERSTOCK REVIEW","P2 - OVERSTOCK",IF(Z402="REPLENISHMENT REVIEW","P2 - REPLENISH","P3 - MONITOR"))))</f>
        <v/>
      </c>
      <c r="AC402" s="16" t="n">
        <v>7365.661770148853</v>
      </c>
      <c r="AD402" s="16" t="n">
        <v>6671.816431400832</v>
      </c>
      <c r="AE402" s="16">
        <f>IF(OR(AD402="",H402=""),"",H402*AD402)</f>
        <v/>
      </c>
    </row>
    <row r="403">
      <c r="A403" s="7" t="inlineStr">
        <is>
          <t>2022-12-31</t>
        </is>
      </c>
      <c r="B403" s="7" t="n">
        <v>2332</v>
      </c>
      <c r="C403" s="8" t="inlineStr">
        <is>
          <t>VietMotion UE-06</t>
        </is>
      </c>
      <c r="D403" s="8" t="inlineStr">
        <is>
          <t>Streetwear</t>
        </is>
      </c>
      <c r="E403" s="7" t="inlineStr">
        <is>
          <t>Performance</t>
        </is>
      </c>
      <c r="F403" s="7" t="inlineStr">
        <is>
          <t>S</t>
        </is>
      </c>
      <c r="G403" s="7" t="inlineStr">
        <is>
          <t>orange</t>
        </is>
      </c>
      <c r="H403" s="9" t="n">
        <v>1939</v>
      </c>
      <c r="I403" s="9" t="n">
        <v>19</v>
      </c>
      <c r="J403" s="10" t="n">
        <v>19.33333333333333</v>
      </c>
      <c r="K403" s="10">
        <f>IFERROR(J403/30,0)</f>
        <v/>
      </c>
      <c r="L403" s="9" t="n">
        <v>2</v>
      </c>
      <c r="M403" s="11" t="n">
        <v>0.9333</v>
      </c>
      <c r="N403" s="9" t="n">
        <v>1</v>
      </c>
      <c r="O403" s="9" t="n">
        <v>1</v>
      </c>
      <c r="P403" s="9" t="n">
        <v>0</v>
      </c>
      <c r="Q403" s="12" t="n">
        <v>0</v>
      </c>
      <c r="R403" s="12" t="n">
        <v>0</v>
      </c>
      <c r="S403" s="9">
        <f>H403+Q403-R403</f>
        <v/>
      </c>
      <c r="T403" s="12" t="n">
        <v>14</v>
      </c>
      <c r="U403" s="12" t="n">
        <v>7</v>
      </c>
      <c r="V403" s="12" t="n">
        <v>7</v>
      </c>
      <c r="W403" s="10">
        <f>K403*(T403+U403)</f>
        <v/>
      </c>
      <c r="X403" s="10">
        <f>K403*(T403+U403+V403)</f>
        <v/>
      </c>
      <c r="Y403" s="10">
        <f>IF(K403&gt;0,H403/K403,99999)</f>
        <v/>
      </c>
      <c r="Z403" s="8">
        <f>IF(AND(OR(L403&gt;=1,M403&lt;0.95),Y403&gt;120),"DATA CONFLICT - VERIFY",IF(OR(L403&gt;=1,M403&lt;0.95,Y403&lt;=14),"SERVICE / STOCKOUT REVIEW",IF(Y403&gt;120,"OVERSTOCK REVIEW",IF(S403&lt;=W403,"REPLENISHMENT REVIEW","NORMAL MONITORING"))))</f>
        <v/>
      </c>
      <c r="AA403" s="9">
        <f>IF(OR(Z403="DATA CONFLICT - VERIFY",Z403="SERVICE / STOCKOUT REVIEW"),0,IF(S403&lt;=W403,MAX(0,ROUNDUP(X403-S403,0)),0))</f>
        <v/>
      </c>
      <c r="AB403" s="8">
        <f>IF(Z403="DATA CONFLICT - VERIFY","P1 - DATA CONFLICT",IF(Z403="SERVICE / STOCKOUT REVIEW","P1 - SERVICE",IF(Z403="OVERSTOCK REVIEW","P2 - OVERSTOCK",IF(Z403="REPLENISHMENT REVIEW","P2 - REPLENISH","P3 - MONITOR"))))</f>
        <v/>
      </c>
      <c r="AC403" s="10" t="n">
        <v>5799.628950298211</v>
      </c>
      <c r="AD403" s="10" t="n">
        <v>4554.448614669184</v>
      </c>
      <c r="AE403" s="10">
        <f>IF(OR(AD403="",H403=""),"",H403*AD403)</f>
        <v/>
      </c>
    </row>
    <row r="404">
      <c r="A404" s="13" t="inlineStr">
        <is>
          <t>2022-12-31</t>
        </is>
      </c>
      <c r="B404" s="13" t="n">
        <v>2334</v>
      </c>
      <c r="C404" s="14" t="inlineStr">
        <is>
          <t>VietMotion UE-08</t>
        </is>
      </c>
      <c r="D404" s="14" t="inlineStr">
        <is>
          <t>Streetwear</t>
        </is>
      </c>
      <c r="E404" s="13" t="inlineStr">
        <is>
          <t>Performance</t>
        </is>
      </c>
      <c r="F404" s="13" t="inlineStr">
        <is>
          <t>L</t>
        </is>
      </c>
      <c r="G404" s="13" t="inlineStr">
        <is>
          <t>white</t>
        </is>
      </c>
      <c r="H404" s="15" t="n">
        <v>332</v>
      </c>
      <c r="I404" s="15" t="n">
        <v>1</v>
      </c>
      <c r="J404" s="16" t="n">
        <v>1</v>
      </c>
      <c r="K404" s="16">
        <f>IFERROR(J404/30,0)</f>
        <v/>
      </c>
      <c r="L404" s="15" t="n">
        <v>0</v>
      </c>
      <c r="M404" s="17" t="n">
        <v>1</v>
      </c>
      <c r="N404" s="15" t="n">
        <v>0</v>
      </c>
      <c r="O404" s="15" t="n">
        <v>1</v>
      </c>
      <c r="P404" s="15" t="n">
        <v>0</v>
      </c>
      <c r="Q404" s="12" t="n">
        <v>0</v>
      </c>
      <c r="R404" s="12" t="n">
        <v>0</v>
      </c>
      <c r="S404" s="15">
        <f>H404+Q404-R404</f>
        <v/>
      </c>
      <c r="T404" s="12" t="n">
        <v>14</v>
      </c>
      <c r="U404" s="12" t="n">
        <v>7</v>
      </c>
      <c r="V404" s="12" t="n">
        <v>7</v>
      </c>
      <c r="W404" s="16">
        <f>K404*(T404+U404)</f>
        <v/>
      </c>
      <c r="X404" s="16">
        <f>K404*(T404+U404+V404)</f>
        <v/>
      </c>
      <c r="Y404" s="16">
        <f>IF(K404&gt;0,H404/K404,99999)</f>
        <v/>
      </c>
      <c r="Z404" s="14">
        <f>IF(AND(OR(L404&gt;=1,M404&lt;0.95),Y404&gt;120),"DATA CONFLICT - VERIFY",IF(OR(L404&gt;=1,M404&lt;0.95,Y404&lt;=14),"SERVICE / STOCKOUT REVIEW",IF(Y404&gt;120,"OVERSTOCK REVIEW",IF(S404&lt;=W404,"REPLENISHMENT REVIEW","NORMAL MONITORING"))))</f>
        <v/>
      </c>
      <c r="AA404" s="15">
        <f>IF(OR(Z404="DATA CONFLICT - VERIFY",Z404="SERVICE / STOCKOUT REVIEW"),0,IF(S404&lt;=W404,MAX(0,ROUNDUP(X404-S404,0)),0))</f>
        <v/>
      </c>
      <c r="AB404" s="14">
        <f>IF(Z404="DATA CONFLICT - VERIFY","P1 - DATA CONFLICT",IF(Z404="SERVICE / STOCKOUT REVIEW","P1 - SERVICE",IF(Z404="OVERSTOCK REVIEW","P2 - OVERSTOCK",IF(Z404="REPLENISHMENT REVIEW","P2 - REPLENISH","P3 - MONITOR"))))</f>
        <v/>
      </c>
      <c r="AC404" s="16" t="n">
        <v>4289.179586909871</v>
      </c>
      <c r="AD404" s="16" t="n">
        <v>2661.435933677575</v>
      </c>
      <c r="AE404" s="16">
        <f>IF(OR(AD404="",H404=""),"",H404*AD404)</f>
        <v/>
      </c>
    </row>
    <row r="405">
      <c r="A405" s="7" t="inlineStr">
        <is>
          <t>2022-12-31</t>
        </is>
      </c>
      <c r="B405" s="7" t="n">
        <v>2336</v>
      </c>
      <c r="C405" s="8" t="inlineStr">
        <is>
          <t>VietMotion UE-10</t>
        </is>
      </c>
      <c r="D405" s="8" t="inlineStr">
        <is>
          <t>Streetwear</t>
        </is>
      </c>
      <c r="E405" s="7" t="inlineStr">
        <is>
          <t>Performance</t>
        </is>
      </c>
      <c r="F405" s="7" t="inlineStr">
        <is>
          <t>S</t>
        </is>
      </c>
      <c r="G405" s="7" t="inlineStr">
        <is>
          <t>green</t>
        </is>
      </c>
      <c r="H405" s="9" t="n">
        <v>125</v>
      </c>
      <c r="I405" s="9" t="n">
        <v>1</v>
      </c>
      <c r="J405" s="10" t="n">
        <v>1.333333333333333</v>
      </c>
      <c r="K405" s="10">
        <f>IFERROR(J405/30,0)</f>
        <v/>
      </c>
      <c r="L405" s="9" t="n">
        <v>1</v>
      </c>
      <c r="M405" s="11" t="n">
        <v>0.9667</v>
      </c>
      <c r="N405" s="9" t="n">
        <v>1</v>
      </c>
      <c r="O405" s="9" t="n">
        <v>1</v>
      </c>
      <c r="P405" s="9" t="n">
        <v>0</v>
      </c>
      <c r="Q405" s="12" t="n">
        <v>0</v>
      </c>
      <c r="R405" s="12" t="n">
        <v>0</v>
      </c>
      <c r="S405" s="9">
        <f>H405+Q405-R405</f>
        <v/>
      </c>
      <c r="T405" s="12" t="n">
        <v>14</v>
      </c>
      <c r="U405" s="12" t="n">
        <v>7</v>
      </c>
      <c r="V405" s="12" t="n">
        <v>7</v>
      </c>
      <c r="W405" s="10">
        <f>K405*(T405+U405)</f>
        <v/>
      </c>
      <c r="X405" s="10">
        <f>K405*(T405+U405+V405)</f>
        <v/>
      </c>
      <c r="Y405" s="10">
        <f>IF(K405&gt;0,H405/K405,99999)</f>
        <v/>
      </c>
      <c r="Z405" s="8">
        <f>IF(AND(OR(L405&gt;=1,M405&lt;0.95),Y405&gt;120),"DATA CONFLICT - VERIFY",IF(OR(L405&gt;=1,M405&lt;0.95,Y405&lt;=14),"SERVICE / STOCKOUT REVIEW",IF(Y405&gt;120,"OVERSTOCK REVIEW",IF(S405&lt;=W405,"REPLENISHMENT REVIEW","NORMAL MONITORING"))))</f>
        <v/>
      </c>
      <c r="AA405" s="9">
        <f>IF(OR(Z405="DATA CONFLICT - VERIFY",Z405="SERVICE / STOCKOUT REVIEW"),0,IF(S405&lt;=W405,MAX(0,ROUNDUP(X405-S405,0)),0))</f>
        <v/>
      </c>
      <c r="AB405" s="8">
        <f>IF(Z405="DATA CONFLICT - VERIFY","P1 - DATA CONFLICT",IF(Z405="SERVICE / STOCKOUT REVIEW","P1 - SERVICE",IF(Z405="OVERSTOCK REVIEW","P2 - OVERSTOCK",IF(Z405="REPLENISHMENT REVIEW","P2 - REPLENISH","P3 - MONITOR"))))</f>
        <v/>
      </c>
      <c r="AC405" s="10" t="n">
        <v>8688.964823889741</v>
      </c>
      <c r="AD405" s="10" t="n">
        <v>8254.516582695253</v>
      </c>
      <c r="AE405" s="10">
        <f>IF(OR(AD405="",H405=""),"",H405*AD405)</f>
        <v/>
      </c>
    </row>
    <row r="406">
      <c r="A406" s="13" t="inlineStr">
        <is>
          <t>2022-12-31</t>
        </is>
      </c>
      <c r="B406" s="13" t="n">
        <v>2341</v>
      </c>
      <c r="C406" s="14" t="inlineStr">
        <is>
          <t>VietMotion UE-15</t>
        </is>
      </c>
      <c r="D406" s="14" t="inlineStr">
        <is>
          <t>Streetwear</t>
        </is>
      </c>
      <c r="E406" s="13" t="inlineStr">
        <is>
          <t>Performance</t>
        </is>
      </c>
      <c r="F406" s="13" t="inlineStr">
        <is>
          <t>M</t>
        </is>
      </c>
      <c r="G406" s="13" t="inlineStr">
        <is>
          <t>black</t>
        </is>
      </c>
      <c r="H406" s="15" t="n">
        <v>49</v>
      </c>
      <c r="I406" s="15" t="n">
        <v>6</v>
      </c>
      <c r="J406" s="16" t="n">
        <v>7</v>
      </c>
      <c r="K406" s="16">
        <f>IFERROR(J406/30,0)</f>
        <v/>
      </c>
      <c r="L406" s="15" t="n">
        <v>1</v>
      </c>
      <c r="M406" s="17" t="n">
        <v>0.9667</v>
      </c>
      <c r="N406" s="15" t="n">
        <v>1</v>
      </c>
      <c r="O406" s="15" t="n">
        <v>1</v>
      </c>
      <c r="P406" s="15" t="n">
        <v>0</v>
      </c>
      <c r="Q406" s="12" t="n">
        <v>0</v>
      </c>
      <c r="R406" s="12" t="n">
        <v>0</v>
      </c>
      <c r="S406" s="15">
        <f>H406+Q406-R406</f>
        <v/>
      </c>
      <c r="T406" s="12" t="n">
        <v>14</v>
      </c>
      <c r="U406" s="12" t="n">
        <v>7</v>
      </c>
      <c r="V406" s="12" t="n">
        <v>7</v>
      </c>
      <c r="W406" s="16">
        <f>K406*(T406+U406)</f>
        <v/>
      </c>
      <c r="X406" s="16">
        <f>K406*(T406+U406+V406)</f>
        <v/>
      </c>
      <c r="Y406" s="16">
        <f>IF(K406&gt;0,H406/K406,99999)</f>
        <v/>
      </c>
      <c r="Z406" s="14">
        <f>IF(AND(OR(L406&gt;=1,M406&lt;0.95),Y406&gt;120),"DATA CONFLICT - VERIFY",IF(OR(L406&gt;=1,M406&lt;0.95,Y406&lt;=14),"SERVICE / STOCKOUT REVIEW",IF(Y406&gt;120,"OVERSTOCK REVIEW",IF(S406&lt;=W406,"REPLENISHMENT REVIEW","NORMAL MONITORING"))))</f>
        <v/>
      </c>
      <c r="AA406" s="15">
        <f>IF(OR(Z406="DATA CONFLICT - VERIFY",Z406="SERVICE / STOCKOUT REVIEW"),0,IF(S406&lt;=W406,MAX(0,ROUNDUP(X406-S406,0)),0))</f>
        <v/>
      </c>
      <c r="AB406" s="14">
        <f>IF(Z406="DATA CONFLICT - VERIFY","P1 - DATA CONFLICT",IF(Z406="SERVICE / STOCKOUT REVIEW","P1 - SERVICE",IF(Z406="OVERSTOCK REVIEW","P2 - OVERSTOCK",IF(Z406="REPLENISHMENT REVIEW","P2 - REPLENISH","P3 - MONITOR"))))</f>
        <v/>
      </c>
      <c r="AC406" s="16" t="n">
        <v>5457.505970149254</v>
      </c>
      <c r="AD406" s="16" t="n">
        <v>5184.630671641791</v>
      </c>
      <c r="AE406" s="16">
        <f>IF(OR(AD406="",H406=""),"",H406*AD406)</f>
        <v/>
      </c>
    </row>
    <row r="407">
      <c r="A407" s="7" t="inlineStr">
        <is>
          <t>2022-12-31</t>
        </is>
      </c>
      <c r="B407" s="7" t="n">
        <v>2343</v>
      </c>
      <c r="C407" s="8" t="inlineStr">
        <is>
          <t>VietMotion UE-17</t>
        </is>
      </c>
      <c r="D407" s="8" t="inlineStr">
        <is>
          <t>Streetwear</t>
        </is>
      </c>
      <c r="E407" s="7" t="inlineStr">
        <is>
          <t>Performance</t>
        </is>
      </c>
      <c r="F407" s="7" t="inlineStr">
        <is>
          <t>XL</t>
        </is>
      </c>
      <c r="G407" s="7" t="inlineStr">
        <is>
          <t>blue</t>
        </is>
      </c>
      <c r="H407" s="9" t="n">
        <v>369</v>
      </c>
      <c r="I407" s="9" t="n">
        <v>1</v>
      </c>
      <c r="J407" s="10" t="n">
        <v>2</v>
      </c>
      <c r="K407" s="10">
        <f>IFERROR(J407/30,0)</f>
        <v/>
      </c>
      <c r="L407" s="9" t="n">
        <v>1</v>
      </c>
      <c r="M407" s="11" t="n">
        <v>0.9667</v>
      </c>
      <c r="N407" s="9" t="n">
        <v>1</v>
      </c>
      <c r="O407" s="9" t="n">
        <v>1</v>
      </c>
      <c r="P407" s="9" t="n">
        <v>0</v>
      </c>
      <c r="Q407" s="12" t="n">
        <v>0</v>
      </c>
      <c r="R407" s="12" t="n">
        <v>0</v>
      </c>
      <c r="S407" s="9">
        <f>H407+Q407-R407</f>
        <v/>
      </c>
      <c r="T407" s="12" t="n">
        <v>14</v>
      </c>
      <c r="U407" s="12" t="n">
        <v>7</v>
      </c>
      <c r="V407" s="12" t="n">
        <v>7</v>
      </c>
      <c r="W407" s="10">
        <f>K407*(T407+U407)</f>
        <v/>
      </c>
      <c r="X407" s="10">
        <f>K407*(T407+U407+V407)</f>
        <v/>
      </c>
      <c r="Y407" s="10">
        <f>IF(K407&gt;0,H407/K407,99999)</f>
        <v/>
      </c>
      <c r="Z407" s="8">
        <f>IF(AND(OR(L407&gt;=1,M407&lt;0.95),Y407&gt;120),"DATA CONFLICT - VERIFY",IF(OR(L407&gt;=1,M407&lt;0.95,Y407&lt;=14),"SERVICE / STOCKOUT REVIEW",IF(Y407&gt;120,"OVERSTOCK REVIEW",IF(S407&lt;=W407,"REPLENISHMENT REVIEW","NORMAL MONITORING"))))</f>
        <v/>
      </c>
      <c r="AA407" s="9">
        <f>IF(OR(Z407="DATA CONFLICT - VERIFY",Z407="SERVICE / STOCKOUT REVIEW"),0,IF(S407&lt;=W407,MAX(0,ROUNDUP(X407-S407,0)),0))</f>
        <v/>
      </c>
      <c r="AB407" s="8">
        <f>IF(Z407="DATA CONFLICT - VERIFY","P1 - DATA CONFLICT",IF(Z407="SERVICE / STOCKOUT REVIEW","P1 - SERVICE",IF(Z407="OVERSTOCK REVIEW","P2 - OVERSTOCK",IF(Z407="REPLENISHMENT REVIEW","P2 - REPLENISH","P3 - MONITOR"))))</f>
        <v/>
      </c>
      <c r="AC407" s="10" t="n">
        <v>5703.50918918919</v>
      </c>
      <c r="AD407" s="10" t="n">
        <v>4446.455763891891</v>
      </c>
      <c r="AE407" s="10">
        <f>IF(OR(AD407="",H407=""),"",H407*AD407)</f>
        <v/>
      </c>
    </row>
    <row r="408">
      <c r="A408" s="13" t="inlineStr">
        <is>
          <t>2022-12-31</t>
        </is>
      </c>
      <c r="B408" s="13" t="n">
        <v>2348</v>
      </c>
      <c r="C408" s="14" t="inlineStr">
        <is>
          <t>VietMotion UE-22</t>
        </is>
      </c>
      <c r="D408" s="14" t="inlineStr">
        <is>
          <t>Streetwear</t>
        </is>
      </c>
      <c r="E408" s="13" t="inlineStr">
        <is>
          <t>Performance</t>
        </is>
      </c>
      <c r="F408" s="13" t="inlineStr">
        <is>
          <t>S</t>
        </is>
      </c>
      <c r="G408" s="13" t="inlineStr">
        <is>
          <t>pink</t>
        </is>
      </c>
      <c r="H408" s="15" t="n">
        <v>10</v>
      </c>
      <c r="I408" s="15" t="n">
        <v>1</v>
      </c>
      <c r="J408" s="16" t="n">
        <v>1</v>
      </c>
      <c r="K408" s="16">
        <f>IFERROR(J408/30,0)</f>
        <v/>
      </c>
      <c r="L408" s="15" t="n">
        <v>1</v>
      </c>
      <c r="M408" s="17" t="n">
        <v>0.9667</v>
      </c>
      <c r="N408" s="15" t="n">
        <v>1</v>
      </c>
      <c r="O408" s="15" t="n">
        <v>1</v>
      </c>
      <c r="P408" s="15" t="n">
        <v>0</v>
      </c>
      <c r="Q408" s="12" t="n">
        <v>0</v>
      </c>
      <c r="R408" s="12" t="n">
        <v>0</v>
      </c>
      <c r="S408" s="15">
        <f>H408+Q408-R408</f>
        <v/>
      </c>
      <c r="T408" s="12" t="n">
        <v>14</v>
      </c>
      <c r="U408" s="12" t="n">
        <v>7</v>
      </c>
      <c r="V408" s="12" t="n">
        <v>7</v>
      </c>
      <c r="W408" s="16">
        <f>K408*(T408+U408)</f>
        <v/>
      </c>
      <c r="X408" s="16">
        <f>K408*(T408+U408+V408)</f>
        <v/>
      </c>
      <c r="Y408" s="16">
        <f>IF(K408&gt;0,H408/K408,99999)</f>
        <v/>
      </c>
      <c r="Z408" s="14">
        <f>IF(AND(OR(L408&gt;=1,M408&lt;0.95),Y408&gt;120),"DATA CONFLICT - VERIFY",IF(OR(L408&gt;=1,M408&lt;0.95,Y408&lt;=14),"SERVICE / STOCKOUT REVIEW",IF(Y408&gt;120,"OVERSTOCK REVIEW",IF(S408&lt;=W408,"REPLENISHMENT REVIEW","NORMAL MONITORING"))))</f>
        <v/>
      </c>
      <c r="AA408" s="15">
        <f>IF(OR(Z408="DATA CONFLICT - VERIFY",Z408="SERVICE / STOCKOUT REVIEW"),0,IF(S408&lt;=W408,MAX(0,ROUNDUP(X408-S408,0)),0))</f>
        <v/>
      </c>
      <c r="AB408" s="14">
        <f>IF(Z408="DATA CONFLICT - VERIFY","P1 - DATA CONFLICT",IF(Z408="SERVICE / STOCKOUT REVIEW","P1 - SERVICE",IF(Z408="OVERSTOCK REVIEW","P2 - OVERSTOCK",IF(Z408="REPLENISHMENT REVIEW","P2 - REPLENISH","P3 - MONITOR"))))</f>
        <v/>
      </c>
      <c r="AC408" s="16" t="n">
        <v>9921.926803278689</v>
      </c>
      <c r="AD408" s="16" t="n">
        <v>6549.463882844263</v>
      </c>
      <c r="AE408" s="16">
        <f>IF(OR(AD408="",H408=""),"",H408*AD408)</f>
        <v/>
      </c>
    </row>
    <row r="409">
      <c r="A409" s="7" t="inlineStr">
        <is>
          <t>2022-12-31</t>
        </is>
      </c>
      <c r="B409" s="7" t="n">
        <v>2350</v>
      </c>
      <c r="C409" s="8" t="inlineStr">
        <is>
          <t>VietMotion UE-24</t>
        </is>
      </c>
      <c r="D409" s="8" t="inlineStr">
        <is>
          <t>Streetwear</t>
        </is>
      </c>
      <c r="E409" s="7" t="inlineStr">
        <is>
          <t>Performance</t>
        </is>
      </c>
      <c r="F409" s="7" t="inlineStr">
        <is>
          <t>L</t>
        </is>
      </c>
      <c r="G409" s="7" t="inlineStr">
        <is>
          <t>red</t>
        </is>
      </c>
      <c r="H409" s="9" t="n">
        <v>218</v>
      </c>
      <c r="I409" s="9" t="n">
        <v>9</v>
      </c>
      <c r="J409" s="10" t="n">
        <v>9.666666666666666</v>
      </c>
      <c r="K409" s="10">
        <f>IFERROR(J409/30,0)</f>
        <v/>
      </c>
      <c r="L409" s="9" t="n">
        <v>2</v>
      </c>
      <c r="M409" s="11" t="n">
        <v>0.9333</v>
      </c>
      <c r="N409" s="9" t="n">
        <v>1</v>
      </c>
      <c r="O409" s="9" t="n">
        <v>1</v>
      </c>
      <c r="P409" s="9" t="n">
        <v>0</v>
      </c>
      <c r="Q409" s="12" t="n">
        <v>0</v>
      </c>
      <c r="R409" s="12" t="n">
        <v>0</v>
      </c>
      <c r="S409" s="9">
        <f>H409+Q409-R409</f>
        <v/>
      </c>
      <c r="T409" s="12" t="n">
        <v>14</v>
      </c>
      <c r="U409" s="12" t="n">
        <v>7</v>
      </c>
      <c r="V409" s="12" t="n">
        <v>7</v>
      </c>
      <c r="W409" s="10">
        <f>K409*(T409+U409)</f>
        <v/>
      </c>
      <c r="X409" s="10">
        <f>K409*(T409+U409+V409)</f>
        <v/>
      </c>
      <c r="Y409" s="10">
        <f>IF(K409&gt;0,H409/K409,99999)</f>
        <v/>
      </c>
      <c r="Z409" s="8">
        <f>IF(AND(OR(L409&gt;=1,M409&lt;0.95),Y409&gt;120),"DATA CONFLICT - VERIFY",IF(OR(L409&gt;=1,M409&lt;0.95,Y409&lt;=14),"SERVICE / STOCKOUT REVIEW",IF(Y409&gt;120,"OVERSTOCK REVIEW",IF(S409&lt;=W409,"REPLENISHMENT REVIEW","NORMAL MONITORING"))))</f>
        <v/>
      </c>
      <c r="AA409" s="9">
        <f>IF(OR(Z409="DATA CONFLICT - VERIFY",Z409="SERVICE / STOCKOUT REVIEW"),0,IF(S409&lt;=W409,MAX(0,ROUNDUP(X409-S409,0)),0))</f>
        <v/>
      </c>
      <c r="AB409" s="8">
        <f>IF(Z409="DATA CONFLICT - VERIFY","P1 - DATA CONFLICT",IF(Z409="SERVICE / STOCKOUT REVIEW","P1 - SERVICE",IF(Z409="OVERSTOCK REVIEW","P2 - OVERSTOCK",IF(Z409="REPLENISHMENT REVIEW","P2 - REPLENISH","P3 - MONITOR"))))</f>
        <v/>
      </c>
      <c r="AC409" s="10" t="n">
        <v>4649.896261682243</v>
      </c>
      <c r="AD409" s="10" t="n">
        <v>4417.401448598131</v>
      </c>
      <c r="AE409" s="10">
        <f>IF(OR(AD409="",H409=""),"",H409*AD409)</f>
        <v/>
      </c>
    </row>
    <row r="410">
      <c r="A410" s="13" t="inlineStr">
        <is>
          <t>2022-12-31</t>
        </is>
      </c>
      <c r="B410" s="13" t="n">
        <v>2354</v>
      </c>
      <c r="C410" s="14" t="inlineStr">
        <is>
          <t>VietMotion UC-02</t>
        </is>
      </c>
      <c r="D410" s="14" t="inlineStr">
        <is>
          <t>Streetwear</t>
        </is>
      </c>
      <c r="E410" s="13" t="inlineStr">
        <is>
          <t>Everyday</t>
        </is>
      </c>
      <c r="F410" s="13" t="inlineStr">
        <is>
          <t>L</t>
        </is>
      </c>
      <c r="G410" s="13" t="inlineStr">
        <is>
          <t>white</t>
        </is>
      </c>
      <c r="H410" s="15" t="n">
        <v>435</v>
      </c>
      <c r="I410" s="15" t="n">
        <v>2</v>
      </c>
      <c r="J410" s="16" t="n">
        <v>1.666666666666667</v>
      </c>
      <c r="K410" s="16">
        <f>IFERROR(J410/30,0)</f>
        <v/>
      </c>
      <c r="L410" s="15" t="n">
        <v>0</v>
      </c>
      <c r="M410" s="17" t="n">
        <v>1</v>
      </c>
      <c r="N410" s="15" t="n">
        <v>0</v>
      </c>
      <c r="O410" s="15" t="n">
        <v>1</v>
      </c>
      <c r="P410" s="15" t="n">
        <v>0</v>
      </c>
      <c r="Q410" s="12" t="n">
        <v>0</v>
      </c>
      <c r="R410" s="12" t="n">
        <v>0</v>
      </c>
      <c r="S410" s="15">
        <f>H410+Q410-R410</f>
        <v/>
      </c>
      <c r="T410" s="12" t="n">
        <v>14</v>
      </c>
      <c r="U410" s="12" t="n">
        <v>7</v>
      </c>
      <c r="V410" s="12" t="n">
        <v>7</v>
      </c>
      <c r="W410" s="16">
        <f>K410*(T410+U410)</f>
        <v/>
      </c>
      <c r="X410" s="16">
        <f>K410*(T410+U410+V410)</f>
        <v/>
      </c>
      <c r="Y410" s="16">
        <f>IF(K410&gt;0,H410/K410,99999)</f>
        <v/>
      </c>
      <c r="Z410" s="14">
        <f>IF(AND(OR(L410&gt;=1,M410&lt;0.95),Y410&gt;120),"DATA CONFLICT - VERIFY",IF(OR(L410&gt;=1,M410&lt;0.95,Y410&lt;=14),"SERVICE / STOCKOUT REVIEW",IF(Y410&gt;120,"OVERSTOCK REVIEW",IF(S410&lt;=W410,"REPLENISHMENT REVIEW","NORMAL MONITORING"))))</f>
        <v/>
      </c>
      <c r="AA410" s="15">
        <f>IF(OR(Z410="DATA CONFLICT - VERIFY",Z410="SERVICE / STOCKOUT REVIEW"),0,IF(S410&lt;=W410,MAX(0,ROUNDUP(X410-S410,0)),0))</f>
        <v/>
      </c>
      <c r="AB410" s="14">
        <f>IF(Z410="DATA CONFLICT - VERIFY","P1 - DATA CONFLICT",IF(Z410="SERVICE / STOCKOUT REVIEW","P1 - SERVICE",IF(Z410="OVERSTOCK REVIEW","P2 - OVERSTOCK",IF(Z410="REPLENISHMENT REVIEW","P2 - REPLENISH","P3 - MONITOR"))))</f>
        <v/>
      </c>
      <c r="AC410" s="16" t="n">
        <v>4403.300272479564</v>
      </c>
      <c r="AD410" s="16" t="n">
        <v>4183.135258855586</v>
      </c>
      <c r="AE410" s="16">
        <f>IF(OR(AD410="",H410=""),"",H410*AD410)</f>
        <v/>
      </c>
    </row>
    <row r="411">
      <c r="A411" s="7" t="inlineStr">
        <is>
          <t>2022-12-31</t>
        </is>
      </c>
      <c r="B411" s="7" t="n">
        <v>2355</v>
      </c>
      <c r="C411" s="8" t="inlineStr">
        <is>
          <t>VietMotion UC-03</t>
        </is>
      </c>
      <c r="D411" s="8" t="inlineStr">
        <is>
          <t>Streetwear</t>
        </is>
      </c>
      <c r="E411" s="7" t="inlineStr">
        <is>
          <t>Everyday</t>
        </is>
      </c>
      <c r="F411" s="7" t="inlineStr">
        <is>
          <t>XL</t>
        </is>
      </c>
      <c r="G411" s="7" t="inlineStr">
        <is>
          <t>purple</t>
        </is>
      </c>
      <c r="H411" s="9" t="n">
        <v>204</v>
      </c>
      <c r="I411" s="9" t="n">
        <v>3</v>
      </c>
      <c r="J411" s="10" t="n">
        <v>3</v>
      </c>
      <c r="K411" s="10">
        <f>IFERROR(J411/30,0)</f>
        <v/>
      </c>
      <c r="L411" s="9" t="n">
        <v>0</v>
      </c>
      <c r="M411" s="11" t="n">
        <v>1</v>
      </c>
      <c r="N411" s="9" t="n">
        <v>0</v>
      </c>
      <c r="O411" s="9" t="n">
        <v>1</v>
      </c>
      <c r="P411" s="9" t="n">
        <v>0</v>
      </c>
      <c r="Q411" s="12" t="n">
        <v>0</v>
      </c>
      <c r="R411" s="12" t="n">
        <v>0</v>
      </c>
      <c r="S411" s="9">
        <f>H411+Q411-R411</f>
        <v/>
      </c>
      <c r="T411" s="12" t="n">
        <v>14</v>
      </c>
      <c r="U411" s="12" t="n">
        <v>7</v>
      </c>
      <c r="V411" s="12" t="n">
        <v>7</v>
      </c>
      <c r="W411" s="10">
        <f>K411*(T411+U411)</f>
        <v/>
      </c>
      <c r="X411" s="10">
        <f>K411*(T411+U411+V411)</f>
        <v/>
      </c>
      <c r="Y411" s="10">
        <f>IF(K411&gt;0,H411/K411,99999)</f>
        <v/>
      </c>
      <c r="Z411" s="8">
        <f>IF(AND(OR(L411&gt;=1,M411&lt;0.95),Y411&gt;120),"DATA CONFLICT - VERIFY",IF(OR(L411&gt;=1,M411&lt;0.95,Y411&lt;=14),"SERVICE / STOCKOUT REVIEW",IF(Y411&gt;120,"OVERSTOCK REVIEW",IF(S411&lt;=W411,"REPLENISHMENT REVIEW","NORMAL MONITORING"))))</f>
        <v/>
      </c>
      <c r="AA411" s="9">
        <f>IF(OR(Z411="DATA CONFLICT - VERIFY",Z411="SERVICE / STOCKOUT REVIEW"),0,IF(S411&lt;=W411,MAX(0,ROUNDUP(X411-S411,0)),0))</f>
        <v/>
      </c>
      <c r="AB411" s="8">
        <f>IF(Z411="DATA CONFLICT - VERIFY","P1 - DATA CONFLICT",IF(Z411="SERVICE / STOCKOUT REVIEW","P1 - SERVICE",IF(Z411="OVERSTOCK REVIEW","P2 - OVERSTOCK",IF(Z411="REPLENISHMENT REVIEW","P2 - REPLENISH","P3 - MONITOR"))))</f>
        <v/>
      </c>
      <c r="AC411" s="10" t="n">
        <v>7179.426821292776</v>
      </c>
      <c r="AD411" s="10" t="n">
        <v>5081.598304111027</v>
      </c>
      <c r="AE411" s="10">
        <f>IF(OR(AD411="",H411=""),"",H411*AD411)</f>
        <v/>
      </c>
    </row>
    <row r="412">
      <c r="A412" s="13" t="inlineStr">
        <is>
          <t>2022-12-31</t>
        </is>
      </c>
      <c r="B412" s="13" t="n">
        <v>2359</v>
      </c>
      <c r="C412" s="14" t="inlineStr">
        <is>
          <t>VietMotion UC-07</t>
        </is>
      </c>
      <c r="D412" s="14" t="inlineStr">
        <is>
          <t>Streetwear</t>
        </is>
      </c>
      <c r="E412" s="13" t="inlineStr">
        <is>
          <t>Everyday</t>
        </is>
      </c>
      <c r="F412" s="13" t="inlineStr">
        <is>
          <t>XL</t>
        </is>
      </c>
      <c r="G412" s="13" t="inlineStr">
        <is>
          <t>yellow</t>
        </is>
      </c>
      <c r="H412" s="15" t="n">
        <v>847</v>
      </c>
      <c r="I412" s="15" t="n">
        <v>1</v>
      </c>
      <c r="J412" s="16" t="n">
        <v>1.333333333333333</v>
      </c>
      <c r="K412" s="16">
        <f>IFERROR(J412/30,0)</f>
        <v/>
      </c>
      <c r="L412" s="15" t="n">
        <v>1</v>
      </c>
      <c r="M412" s="17" t="n">
        <v>0.9667</v>
      </c>
      <c r="N412" s="15" t="n">
        <v>1</v>
      </c>
      <c r="O412" s="15" t="n">
        <v>1</v>
      </c>
      <c r="P412" s="15" t="n">
        <v>0</v>
      </c>
      <c r="Q412" s="12" t="n">
        <v>0</v>
      </c>
      <c r="R412" s="12" t="n">
        <v>0</v>
      </c>
      <c r="S412" s="15">
        <f>H412+Q412-R412</f>
        <v/>
      </c>
      <c r="T412" s="12" t="n">
        <v>14</v>
      </c>
      <c r="U412" s="12" t="n">
        <v>7</v>
      </c>
      <c r="V412" s="12" t="n">
        <v>7</v>
      </c>
      <c r="W412" s="16">
        <f>K412*(T412+U412)</f>
        <v/>
      </c>
      <c r="X412" s="16">
        <f>K412*(T412+U412+V412)</f>
        <v/>
      </c>
      <c r="Y412" s="16">
        <f>IF(K412&gt;0,H412/K412,99999)</f>
        <v/>
      </c>
      <c r="Z412" s="14">
        <f>IF(AND(OR(L412&gt;=1,M412&lt;0.95),Y412&gt;120),"DATA CONFLICT - VERIFY",IF(OR(L412&gt;=1,M412&lt;0.95,Y412&lt;=14),"SERVICE / STOCKOUT REVIEW",IF(Y412&gt;120,"OVERSTOCK REVIEW",IF(S412&lt;=W412,"REPLENISHMENT REVIEW","NORMAL MONITORING"))))</f>
        <v/>
      </c>
      <c r="AA412" s="15">
        <f>IF(OR(Z412="DATA CONFLICT - VERIFY",Z412="SERVICE / STOCKOUT REVIEW"),0,IF(S412&lt;=W412,MAX(0,ROUNDUP(X412-S412,0)),0))</f>
        <v/>
      </c>
      <c r="AB412" s="14">
        <f>IF(Z412="DATA CONFLICT - VERIFY","P1 - DATA CONFLICT",IF(Z412="SERVICE / STOCKOUT REVIEW","P1 - SERVICE",IF(Z412="OVERSTOCK REVIEW","P2 - OVERSTOCK",IF(Z412="REPLENISHMENT REVIEW","P2 - REPLENISH","P3 - MONITOR"))))</f>
        <v/>
      </c>
      <c r="AC412" s="16" t="n">
        <v>5399.825901259964</v>
      </c>
      <c r="AD412" s="16" t="n">
        <v>3136.758866041913</v>
      </c>
      <c r="AE412" s="16">
        <f>IF(OR(AD412="",H412=""),"",H412*AD412)</f>
        <v/>
      </c>
    </row>
    <row r="413">
      <c r="A413" s="7" t="inlineStr">
        <is>
          <t>2022-12-31</t>
        </is>
      </c>
      <c r="B413" s="7" t="n">
        <v>2360</v>
      </c>
      <c r="C413" s="8" t="inlineStr">
        <is>
          <t>VietMotion UC-08</t>
        </is>
      </c>
      <c r="D413" s="8" t="inlineStr">
        <is>
          <t>Streetwear</t>
        </is>
      </c>
      <c r="E413" s="7" t="inlineStr">
        <is>
          <t>Everyday</t>
        </is>
      </c>
      <c r="F413" s="7" t="inlineStr">
        <is>
          <t>S</t>
        </is>
      </c>
      <c r="G413" s="7" t="inlineStr">
        <is>
          <t>red</t>
        </is>
      </c>
      <c r="H413" s="9" t="n">
        <v>119</v>
      </c>
      <c r="I413" s="9" t="n">
        <v>8</v>
      </c>
      <c r="J413" s="10" t="n">
        <v>10.66666666666667</v>
      </c>
      <c r="K413" s="10">
        <f>IFERROR(J413/30,0)</f>
        <v/>
      </c>
      <c r="L413" s="9" t="n">
        <v>1</v>
      </c>
      <c r="M413" s="11" t="n">
        <v>0.9667</v>
      </c>
      <c r="N413" s="9" t="n">
        <v>1</v>
      </c>
      <c r="O413" s="9" t="n">
        <v>1</v>
      </c>
      <c r="P413" s="9" t="n">
        <v>0</v>
      </c>
      <c r="Q413" s="12" t="n">
        <v>0</v>
      </c>
      <c r="R413" s="12" t="n">
        <v>0</v>
      </c>
      <c r="S413" s="9">
        <f>H413+Q413-R413</f>
        <v/>
      </c>
      <c r="T413" s="12" t="n">
        <v>14</v>
      </c>
      <c r="U413" s="12" t="n">
        <v>7</v>
      </c>
      <c r="V413" s="12" t="n">
        <v>7</v>
      </c>
      <c r="W413" s="10">
        <f>K413*(T413+U413)</f>
        <v/>
      </c>
      <c r="X413" s="10">
        <f>K413*(T413+U413+V413)</f>
        <v/>
      </c>
      <c r="Y413" s="10">
        <f>IF(K413&gt;0,H413/K413,99999)</f>
        <v/>
      </c>
      <c r="Z413" s="8">
        <f>IF(AND(OR(L413&gt;=1,M413&lt;0.95),Y413&gt;120),"DATA CONFLICT - VERIFY",IF(OR(L413&gt;=1,M413&lt;0.95,Y413&lt;=14),"SERVICE / STOCKOUT REVIEW",IF(Y413&gt;120,"OVERSTOCK REVIEW",IF(S413&lt;=W413,"REPLENISHMENT REVIEW","NORMAL MONITORING"))))</f>
        <v/>
      </c>
      <c r="AA413" s="9">
        <f>IF(OR(Z413="DATA CONFLICT - VERIFY",Z413="SERVICE / STOCKOUT REVIEW"),0,IF(S413&lt;=W413,MAX(0,ROUNDUP(X413-S413,0)),0))</f>
        <v/>
      </c>
      <c r="AB413" s="8">
        <f>IF(Z413="DATA CONFLICT - VERIFY","P1 - DATA CONFLICT",IF(Z413="SERVICE / STOCKOUT REVIEW","P1 - SERVICE",IF(Z413="OVERSTOCK REVIEW","P2 - OVERSTOCK",IF(Z413="REPLENISHMENT REVIEW","P2 - REPLENISH","P3 - MONITOR"))))</f>
        <v/>
      </c>
      <c r="AC413" s="10" t="n">
        <v>7081.97732079906</v>
      </c>
      <c r="AD413" s="10" t="n">
        <v>5403.548695769683</v>
      </c>
      <c r="AE413" s="10">
        <f>IF(OR(AD413="",H413=""),"",H413*AD413)</f>
        <v/>
      </c>
    </row>
    <row r="414">
      <c r="A414" s="13" t="inlineStr">
        <is>
          <t>2022-12-31</t>
        </is>
      </c>
      <c r="B414" s="13" t="n">
        <v>2361</v>
      </c>
      <c r="C414" s="14" t="inlineStr">
        <is>
          <t>VietMotion UC-09</t>
        </is>
      </c>
      <c r="D414" s="14" t="inlineStr">
        <is>
          <t>Streetwear</t>
        </is>
      </c>
      <c r="E414" s="13" t="inlineStr">
        <is>
          <t>Everyday</t>
        </is>
      </c>
      <c r="F414" s="13" t="inlineStr">
        <is>
          <t>M</t>
        </is>
      </c>
      <c r="G414" s="13" t="inlineStr">
        <is>
          <t>black</t>
        </is>
      </c>
      <c r="H414" s="15" t="n">
        <v>209</v>
      </c>
      <c r="I414" s="15" t="n">
        <v>1</v>
      </c>
      <c r="J414" s="16" t="n">
        <v>3.666666666666667</v>
      </c>
      <c r="K414" s="16">
        <f>IFERROR(J414/30,0)</f>
        <v/>
      </c>
      <c r="L414" s="15" t="n">
        <v>1</v>
      </c>
      <c r="M414" s="17" t="n">
        <v>0.9667</v>
      </c>
      <c r="N414" s="15" t="n">
        <v>1</v>
      </c>
      <c r="O414" s="15" t="n">
        <v>1</v>
      </c>
      <c r="P414" s="15" t="n">
        <v>0</v>
      </c>
      <c r="Q414" s="12" t="n">
        <v>0</v>
      </c>
      <c r="R414" s="12" t="n">
        <v>0</v>
      </c>
      <c r="S414" s="15">
        <f>H414+Q414-R414</f>
        <v/>
      </c>
      <c r="T414" s="12" t="n">
        <v>14</v>
      </c>
      <c r="U414" s="12" t="n">
        <v>7</v>
      </c>
      <c r="V414" s="12" t="n">
        <v>7</v>
      </c>
      <c r="W414" s="16">
        <f>K414*(T414+U414)</f>
        <v/>
      </c>
      <c r="X414" s="16">
        <f>K414*(T414+U414+V414)</f>
        <v/>
      </c>
      <c r="Y414" s="16">
        <f>IF(K414&gt;0,H414/K414,99999)</f>
        <v/>
      </c>
      <c r="Z414" s="14">
        <f>IF(AND(OR(L414&gt;=1,M414&lt;0.95),Y414&gt;120),"DATA CONFLICT - VERIFY",IF(OR(L414&gt;=1,M414&lt;0.95,Y414&lt;=14),"SERVICE / STOCKOUT REVIEW",IF(Y414&gt;120,"OVERSTOCK REVIEW",IF(S414&lt;=W414,"REPLENISHMENT REVIEW","NORMAL MONITORING"))))</f>
        <v/>
      </c>
      <c r="AA414" s="15">
        <f>IF(OR(Z414="DATA CONFLICT - VERIFY",Z414="SERVICE / STOCKOUT REVIEW"),0,IF(S414&lt;=W414,MAX(0,ROUNDUP(X414-S414,0)),0))</f>
        <v/>
      </c>
      <c r="AB414" s="14">
        <f>IF(Z414="DATA CONFLICT - VERIFY","P1 - DATA CONFLICT",IF(Z414="SERVICE / STOCKOUT REVIEW","P1 - SERVICE",IF(Z414="OVERSTOCK REVIEW","P2 - OVERSTOCK",IF(Z414="REPLENISHMENT REVIEW","P2 - REPLENISH","P3 - MONITOR"))))</f>
        <v/>
      </c>
      <c r="AC414" s="16" t="n">
        <v>7197.014371257485</v>
      </c>
      <c r="AD414" s="16" t="n">
        <v>6837.16365269461</v>
      </c>
      <c r="AE414" s="16">
        <f>IF(OR(AD414="",H414=""),"",H414*AD414)</f>
        <v/>
      </c>
    </row>
    <row r="415">
      <c r="A415" s="7" t="inlineStr">
        <is>
          <t>2022-12-31</t>
        </is>
      </c>
      <c r="B415" s="7" t="n">
        <v>2363</v>
      </c>
      <c r="C415" s="8" t="inlineStr">
        <is>
          <t>VietMotion UC-11</t>
        </is>
      </c>
      <c r="D415" s="8" t="inlineStr">
        <is>
          <t>Streetwear</t>
        </is>
      </c>
      <c r="E415" s="7" t="inlineStr">
        <is>
          <t>Everyday</t>
        </is>
      </c>
      <c r="F415" s="7" t="inlineStr">
        <is>
          <t>XL</t>
        </is>
      </c>
      <c r="G415" s="7" t="inlineStr">
        <is>
          <t>blue</t>
        </is>
      </c>
      <c r="H415" s="9" t="n">
        <v>25</v>
      </c>
      <c r="I415" s="9" t="n">
        <v>4</v>
      </c>
      <c r="J415" s="10" t="n">
        <v>3</v>
      </c>
      <c r="K415" s="10">
        <f>IFERROR(J415/30,0)</f>
        <v/>
      </c>
      <c r="L415" s="9" t="n">
        <v>0</v>
      </c>
      <c r="M415" s="11" t="n">
        <v>1</v>
      </c>
      <c r="N415" s="9" t="n">
        <v>0</v>
      </c>
      <c r="O415" s="9" t="n">
        <v>1</v>
      </c>
      <c r="P415" s="9" t="n">
        <v>0</v>
      </c>
      <c r="Q415" s="12" t="n">
        <v>0</v>
      </c>
      <c r="R415" s="12" t="n">
        <v>0</v>
      </c>
      <c r="S415" s="9">
        <f>H415+Q415-R415</f>
        <v/>
      </c>
      <c r="T415" s="12" t="n">
        <v>14</v>
      </c>
      <c r="U415" s="12" t="n">
        <v>7</v>
      </c>
      <c r="V415" s="12" t="n">
        <v>7</v>
      </c>
      <c r="W415" s="10">
        <f>K415*(T415+U415)</f>
        <v/>
      </c>
      <c r="X415" s="10">
        <f>K415*(T415+U415+V415)</f>
        <v/>
      </c>
      <c r="Y415" s="10">
        <f>IF(K415&gt;0,H415/K415,99999)</f>
        <v/>
      </c>
      <c r="Z415" s="8">
        <f>IF(AND(OR(L415&gt;=1,M415&lt;0.95),Y415&gt;120),"DATA CONFLICT - VERIFY",IF(OR(L415&gt;=1,M415&lt;0.95,Y415&lt;=14),"SERVICE / STOCKOUT REVIEW",IF(Y415&gt;120,"OVERSTOCK REVIEW",IF(S415&lt;=W415,"REPLENISHMENT REVIEW","NORMAL MONITORING"))))</f>
        <v/>
      </c>
      <c r="AA415" s="9">
        <f>IF(OR(Z415="DATA CONFLICT - VERIFY",Z415="SERVICE / STOCKOUT REVIEW"),0,IF(S415&lt;=W415,MAX(0,ROUNDUP(X415-S415,0)),0))</f>
        <v/>
      </c>
      <c r="AB415" s="8">
        <f>IF(Z415="DATA CONFLICT - VERIFY","P1 - DATA CONFLICT",IF(Z415="SERVICE / STOCKOUT REVIEW","P1 - SERVICE",IF(Z415="OVERSTOCK REVIEW","P2 - OVERSTOCK",IF(Z415="REPLENISHMENT REVIEW","P2 - REPLENISH","P3 - MONITOR"))))</f>
        <v/>
      </c>
      <c r="AC415" s="10" t="n">
        <v>11768.95953947368</v>
      </c>
      <c r="AD415" s="10" t="n">
        <v>11180.5115625</v>
      </c>
      <c r="AE415" s="10">
        <f>IF(OR(AD415="",H415=""),"",H415*AD415)</f>
        <v/>
      </c>
    </row>
    <row r="416">
      <c r="A416" s="13" t="inlineStr">
        <is>
          <t>2022-12-31</t>
        </is>
      </c>
      <c r="B416" s="13" t="n">
        <v>2365</v>
      </c>
      <c r="C416" s="14" t="inlineStr">
        <is>
          <t>VietMotion UC-13</t>
        </is>
      </c>
      <c r="D416" s="14" t="inlineStr">
        <is>
          <t>Streetwear</t>
        </is>
      </c>
      <c r="E416" s="13" t="inlineStr">
        <is>
          <t>Everyday</t>
        </is>
      </c>
      <c r="F416" s="13" t="inlineStr">
        <is>
          <t>M</t>
        </is>
      </c>
      <c r="G416" s="13" t="inlineStr">
        <is>
          <t>purple</t>
        </is>
      </c>
      <c r="H416" s="15" t="n">
        <v>215</v>
      </c>
      <c r="I416" s="15" t="n">
        <v>7</v>
      </c>
      <c r="J416" s="16" t="n">
        <v>3.666666666666667</v>
      </c>
      <c r="K416" s="16">
        <f>IFERROR(J416/30,0)</f>
        <v/>
      </c>
      <c r="L416" s="15" t="n">
        <v>2</v>
      </c>
      <c r="M416" s="17" t="n">
        <v>0.9333</v>
      </c>
      <c r="N416" s="15" t="n">
        <v>1</v>
      </c>
      <c r="O416" s="15" t="n">
        <v>1</v>
      </c>
      <c r="P416" s="15" t="n">
        <v>0</v>
      </c>
      <c r="Q416" s="12" t="n">
        <v>0</v>
      </c>
      <c r="R416" s="12" t="n">
        <v>0</v>
      </c>
      <c r="S416" s="15">
        <f>H416+Q416-R416</f>
        <v/>
      </c>
      <c r="T416" s="12" t="n">
        <v>14</v>
      </c>
      <c r="U416" s="12" t="n">
        <v>7</v>
      </c>
      <c r="V416" s="12" t="n">
        <v>7</v>
      </c>
      <c r="W416" s="16">
        <f>K416*(T416+U416)</f>
        <v/>
      </c>
      <c r="X416" s="16">
        <f>K416*(T416+U416+V416)</f>
        <v/>
      </c>
      <c r="Y416" s="16">
        <f>IF(K416&gt;0,H416/K416,99999)</f>
        <v/>
      </c>
      <c r="Z416" s="14">
        <f>IF(AND(OR(L416&gt;=1,M416&lt;0.95),Y416&gt;120),"DATA CONFLICT - VERIFY",IF(OR(L416&gt;=1,M416&lt;0.95,Y416&lt;=14),"SERVICE / STOCKOUT REVIEW",IF(Y416&gt;120,"OVERSTOCK REVIEW",IF(S416&lt;=W416,"REPLENISHMENT REVIEW","NORMAL MONITORING"))))</f>
        <v/>
      </c>
      <c r="AA416" s="15">
        <f>IF(OR(Z416="DATA CONFLICT - VERIFY",Z416="SERVICE / STOCKOUT REVIEW"),0,IF(S416&lt;=W416,MAX(0,ROUNDUP(X416-S416,0)),0))</f>
        <v/>
      </c>
      <c r="AB416" s="14">
        <f>IF(Z416="DATA CONFLICT - VERIFY","P1 - DATA CONFLICT",IF(Z416="SERVICE / STOCKOUT REVIEW","P1 - SERVICE",IF(Z416="OVERSTOCK REVIEW","P2 - OVERSTOCK",IF(Z416="REPLENISHMENT REVIEW","P2 - REPLENISH","P3 - MONITOR"))))</f>
        <v/>
      </c>
      <c r="AC416" s="16" t="n">
        <v>6423.10253164557</v>
      </c>
      <c r="AD416" s="16" t="n">
        <v>4688.222537848101</v>
      </c>
      <c r="AE416" s="16">
        <f>IF(OR(AD416="",H416=""),"",H416*AD416)</f>
        <v/>
      </c>
    </row>
    <row r="417">
      <c r="A417" s="7" t="inlineStr">
        <is>
          <t>2022-12-31</t>
        </is>
      </c>
      <c r="B417" s="7" t="n">
        <v>2367</v>
      </c>
      <c r="C417" s="8" t="inlineStr">
        <is>
          <t>VietMotion UC-15</t>
        </is>
      </c>
      <c r="D417" s="8" t="inlineStr">
        <is>
          <t>Streetwear</t>
        </is>
      </c>
      <c r="E417" s="7" t="inlineStr">
        <is>
          <t>Everyday</t>
        </is>
      </c>
      <c r="F417" s="7" t="inlineStr">
        <is>
          <t>XL</t>
        </is>
      </c>
      <c r="G417" s="7" t="inlineStr">
        <is>
          <t>silver</t>
        </is>
      </c>
      <c r="H417" s="9" t="n">
        <v>146</v>
      </c>
      <c r="I417" s="9" t="n">
        <v>7</v>
      </c>
      <c r="J417" s="10" t="n">
        <v>9</v>
      </c>
      <c r="K417" s="10">
        <f>IFERROR(J417/30,0)</f>
        <v/>
      </c>
      <c r="L417" s="9" t="n">
        <v>1</v>
      </c>
      <c r="M417" s="11" t="n">
        <v>0.9667</v>
      </c>
      <c r="N417" s="9" t="n">
        <v>1</v>
      </c>
      <c r="O417" s="9" t="n">
        <v>1</v>
      </c>
      <c r="P417" s="9" t="n">
        <v>0</v>
      </c>
      <c r="Q417" s="12" t="n">
        <v>0</v>
      </c>
      <c r="R417" s="12" t="n">
        <v>0</v>
      </c>
      <c r="S417" s="9">
        <f>H417+Q417-R417</f>
        <v/>
      </c>
      <c r="T417" s="12" t="n">
        <v>14</v>
      </c>
      <c r="U417" s="12" t="n">
        <v>7</v>
      </c>
      <c r="V417" s="12" t="n">
        <v>7</v>
      </c>
      <c r="W417" s="10">
        <f>K417*(T417+U417)</f>
        <v/>
      </c>
      <c r="X417" s="10">
        <f>K417*(T417+U417+V417)</f>
        <v/>
      </c>
      <c r="Y417" s="10">
        <f>IF(K417&gt;0,H417/K417,99999)</f>
        <v/>
      </c>
      <c r="Z417" s="8">
        <f>IF(AND(OR(L417&gt;=1,M417&lt;0.95),Y417&gt;120),"DATA CONFLICT - VERIFY",IF(OR(L417&gt;=1,M417&lt;0.95,Y417&lt;=14),"SERVICE / STOCKOUT REVIEW",IF(Y417&gt;120,"OVERSTOCK REVIEW",IF(S417&lt;=W417,"REPLENISHMENT REVIEW","NORMAL MONITORING"))))</f>
        <v/>
      </c>
      <c r="AA417" s="9">
        <f>IF(OR(Z417="DATA CONFLICT - VERIFY",Z417="SERVICE / STOCKOUT REVIEW"),0,IF(S417&lt;=W417,MAX(0,ROUNDUP(X417-S417,0)),0))</f>
        <v/>
      </c>
      <c r="AB417" s="8">
        <f>IF(Z417="DATA CONFLICT - VERIFY","P1 - DATA CONFLICT",IF(Z417="SERVICE / STOCKOUT REVIEW","P1 - SERVICE",IF(Z417="OVERSTOCK REVIEW","P2 - OVERSTOCK",IF(Z417="REPLENISHMENT REVIEW","P2 - REPLENISH","P3 - MONITOR"))))</f>
        <v/>
      </c>
      <c r="AC417" s="10" t="n">
        <v>5855.092405063291</v>
      </c>
      <c r="AD417" s="10" t="n">
        <v>3272.411145189873</v>
      </c>
      <c r="AE417" s="10">
        <f>IF(OR(AD417="",H417=""),"",H417*AD417)</f>
        <v/>
      </c>
    </row>
    <row r="418">
      <c r="A418" s="13" t="inlineStr">
        <is>
          <t>2022-12-31</t>
        </is>
      </c>
      <c r="B418" s="13" t="n">
        <v>2368</v>
      </c>
      <c r="C418" s="14" t="inlineStr">
        <is>
          <t>VietMotion UC-16</t>
        </is>
      </c>
      <c r="D418" s="14" t="inlineStr">
        <is>
          <t>Streetwear</t>
        </is>
      </c>
      <c r="E418" s="13" t="inlineStr">
        <is>
          <t>Everyday</t>
        </is>
      </c>
      <c r="F418" s="13" t="inlineStr">
        <is>
          <t>S</t>
        </is>
      </c>
      <c r="G418" s="13" t="inlineStr">
        <is>
          <t>pink</t>
        </is>
      </c>
      <c r="H418" s="15" t="n">
        <v>297</v>
      </c>
      <c r="I418" s="15" t="n">
        <v>6</v>
      </c>
      <c r="J418" s="16" t="n">
        <v>7</v>
      </c>
      <c r="K418" s="16">
        <f>IFERROR(J418/30,0)</f>
        <v/>
      </c>
      <c r="L418" s="15" t="n">
        <v>0</v>
      </c>
      <c r="M418" s="17" t="n">
        <v>1</v>
      </c>
      <c r="N418" s="15" t="n">
        <v>0</v>
      </c>
      <c r="O418" s="15" t="n">
        <v>1</v>
      </c>
      <c r="P418" s="15" t="n">
        <v>0</v>
      </c>
      <c r="Q418" s="12" t="n">
        <v>0</v>
      </c>
      <c r="R418" s="12" t="n">
        <v>0</v>
      </c>
      <c r="S418" s="15">
        <f>H418+Q418-R418</f>
        <v/>
      </c>
      <c r="T418" s="12" t="n">
        <v>14</v>
      </c>
      <c r="U418" s="12" t="n">
        <v>7</v>
      </c>
      <c r="V418" s="12" t="n">
        <v>7</v>
      </c>
      <c r="W418" s="16">
        <f>K418*(T418+U418)</f>
        <v/>
      </c>
      <c r="X418" s="16">
        <f>K418*(T418+U418+V418)</f>
        <v/>
      </c>
      <c r="Y418" s="16">
        <f>IF(K418&gt;0,H418/K418,99999)</f>
        <v/>
      </c>
      <c r="Z418" s="14">
        <f>IF(AND(OR(L418&gt;=1,M418&lt;0.95),Y418&gt;120),"DATA CONFLICT - VERIFY",IF(OR(L418&gt;=1,M418&lt;0.95,Y418&lt;=14),"SERVICE / STOCKOUT REVIEW",IF(Y418&gt;120,"OVERSTOCK REVIEW",IF(S418&lt;=W418,"REPLENISHMENT REVIEW","NORMAL MONITORING"))))</f>
        <v/>
      </c>
      <c r="AA418" s="15">
        <f>IF(OR(Z418="DATA CONFLICT - VERIFY",Z418="SERVICE / STOCKOUT REVIEW"),0,IF(S418&lt;=W418,MAX(0,ROUNDUP(X418-S418,0)),0))</f>
        <v/>
      </c>
      <c r="AB418" s="14">
        <f>IF(Z418="DATA CONFLICT - VERIFY","P1 - DATA CONFLICT",IF(Z418="SERVICE / STOCKOUT REVIEW","P1 - SERVICE",IF(Z418="OVERSTOCK REVIEW","P2 - OVERSTOCK",IF(Z418="REPLENISHMENT REVIEW","P2 - REPLENISH","P3 - MONITOR"))))</f>
        <v/>
      </c>
      <c r="AC418" s="16" t="n">
        <v>9060.457987126976</v>
      </c>
      <c r="AD418" s="16" t="n">
        <v>5234.226579163253</v>
      </c>
      <c r="AE418" s="16">
        <f>IF(OR(AD418="",H418=""),"",H418*AD418)</f>
        <v/>
      </c>
    </row>
    <row r="419">
      <c r="A419" s="7" t="inlineStr">
        <is>
          <t>2022-12-31</t>
        </is>
      </c>
      <c r="B419" s="7" t="n">
        <v>2369</v>
      </c>
      <c r="C419" s="8" t="inlineStr">
        <is>
          <t>VietMotion UC-17</t>
        </is>
      </c>
      <c r="D419" s="8" t="inlineStr">
        <is>
          <t>Streetwear</t>
        </is>
      </c>
      <c r="E419" s="7" t="inlineStr">
        <is>
          <t>Everyday</t>
        </is>
      </c>
      <c r="F419" s="7" t="inlineStr">
        <is>
          <t>M</t>
        </is>
      </c>
      <c r="G419" s="7" t="inlineStr">
        <is>
          <t>yellow</t>
        </is>
      </c>
      <c r="H419" s="9" t="n">
        <v>108</v>
      </c>
      <c r="I419" s="9" t="n">
        <v>4</v>
      </c>
      <c r="J419" s="10" t="n">
        <v>4.333333333333333</v>
      </c>
      <c r="K419" s="10">
        <f>IFERROR(J419/30,0)</f>
        <v/>
      </c>
      <c r="L419" s="9" t="n">
        <v>1</v>
      </c>
      <c r="M419" s="11" t="n">
        <v>0.9667</v>
      </c>
      <c r="N419" s="9" t="n">
        <v>1</v>
      </c>
      <c r="O419" s="9" t="n">
        <v>1</v>
      </c>
      <c r="P419" s="9" t="n">
        <v>0</v>
      </c>
      <c r="Q419" s="12" t="n">
        <v>0</v>
      </c>
      <c r="R419" s="12" t="n">
        <v>0</v>
      </c>
      <c r="S419" s="9">
        <f>H419+Q419-R419</f>
        <v/>
      </c>
      <c r="T419" s="12" t="n">
        <v>14</v>
      </c>
      <c r="U419" s="12" t="n">
        <v>7</v>
      </c>
      <c r="V419" s="12" t="n">
        <v>7</v>
      </c>
      <c r="W419" s="10">
        <f>K419*(T419+U419)</f>
        <v/>
      </c>
      <c r="X419" s="10">
        <f>K419*(T419+U419+V419)</f>
        <v/>
      </c>
      <c r="Y419" s="10">
        <f>IF(K419&gt;0,H419/K419,99999)</f>
        <v/>
      </c>
      <c r="Z419" s="8">
        <f>IF(AND(OR(L419&gt;=1,M419&lt;0.95),Y419&gt;120),"DATA CONFLICT - VERIFY",IF(OR(L419&gt;=1,M419&lt;0.95,Y419&lt;=14),"SERVICE / STOCKOUT REVIEW",IF(Y419&gt;120,"OVERSTOCK REVIEW",IF(S419&lt;=W419,"REPLENISHMENT REVIEW","NORMAL MONITORING"))))</f>
        <v/>
      </c>
      <c r="AA419" s="9">
        <f>IF(OR(Z419="DATA CONFLICT - VERIFY",Z419="SERVICE / STOCKOUT REVIEW"),0,IF(S419&lt;=W419,MAX(0,ROUNDUP(X419-S419,0)),0))</f>
        <v/>
      </c>
      <c r="AB419" s="8">
        <f>IF(Z419="DATA CONFLICT - VERIFY","P1 - DATA CONFLICT",IF(Z419="SERVICE / STOCKOUT REVIEW","P1 - SERVICE",IF(Z419="OVERSTOCK REVIEW","P2 - OVERSTOCK",IF(Z419="REPLENISHMENT REVIEW","P2 - REPLENISH","P3 - MONITOR"))))</f>
        <v/>
      </c>
      <c r="AC419" s="10" t="n">
        <v>5168.688326848249</v>
      </c>
      <c r="AD419" s="10" t="n">
        <v>2624.143063540856</v>
      </c>
      <c r="AE419" s="10">
        <f>IF(OR(AD419="",H419=""),"",H419*AD419)</f>
        <v/>
      </c>
    </row>
    <row r="420">
      <c r="A420" s="13" t="inlineStr">
        <is>
          <t>2022-12-31</t>
        </is>
      </c>
      <c r="B420" s="13" t="n">
        <v>2376</v>
      </c>
      <c r="C420" s="14" t="inlineStr">
        <is>
          <t>VietMotion UC-24</t>
        </is>
      </c>
      <c r="D420" s="14" t="inlineStr">
        <is>
          <t>Streetwear</t>
        </is>
      </c>
      <c r="E420" s="13" t="inlineStr">
        <is>
          <t>Everyday</t>
        </is>
      </c>
      <c r="F420" s="13" t="inlineStr">
        <is>
          <t>S</t>
        </is>
      </c>
      <c r="G420" s="13" t="inlineStr">
        <is>
          <t>green</t>
        </is>
      </c>
      <c r="H420" s="15" t="n">
        <v>291</v>
      </c>
      <c r="I420" s="15" t="n">
        <v>4</v>
      </c>
      <c r="J420" s="16" t="n">
        <v>3</v>
      </c>
      <c r="K420" s="16">
        <f>IFERROR(J420/30,0)</f>
        <v/>
      </c>
      <c r="L420" s="15" t="n">
        <v>1</v>
      </c>
      <c r="M420" s="17" t="n">
        <v>0.9667</v>
      </c>
      <c r="N420" s="15" t="n">
        <v>1</v>
      </c>
      <c r="O420" s="15" t="n">
        <v>1</v>
      </c>
      <c r="P420" s="15" t="n">
        <v>0</v>
      </c>
      <c r="Q420" s="12" t="n">
        <v>0</v>
      </c>
      <c r="R420" s="12" t="n">
        <v>0</v>
      </c>
      <c r="S420" s="15">
        <f>H420+Q420-R420</f>
        <v/>
      </c>
      <c r="T420" s="12" t="n">
        <v>14</v>
      </c>
      <c r="U420" s="12" t="n">
        <v>7</v>
      </c>
      <c r="V420" s="12" t="n">
        <v>7</v>
      </c>
      <c r="W420" s="16">
        <f>K420*(T420+U420)</f>
        <v/>
      </c>
      <c r="X420" s="16">
        <f>K420*(T420+U420+V420)</f>
        <v/>
      </c>
      <c r="Y420" s="16">
        <f>IF(K420&gt;0,H420/K420,99999)</f>
        <v/>
      </c>
      <c r="Z420" s="14">
        <f>IF(AND(OR(L420&gt;=1,M420&lt;0.95),Y420&gt;120),"DATA CONFLICT - VERIFY",IF(OR(L420&gt;=1,M420&lt;0.95,Y420&lt;=14),"SERVICE / STOCKOUT REVIEW",IF(Y420&gt;120,"OVERSTOCK REVIEW",IF(S420&lt;=W420,"REPLENISHMENT REVIEW","NORMAL MONITORING"))))</f>
        <v/>
      </c>
      <c r="AA420" s="15">
        <f>IF(OR(Z420="DATA CONFLICT - VERIFY",Z420="SERVICE / STOCKOUT REVIEW"),0,IF(S420&lt;=W420,MAX(0,ROUNDUP(X420-S420,0)),0))</f>
        <v/>
      </c>
      <c r="AB420" s="14">
        <f>IF(Z420="DATA CONFLICT - VERIFY","P1 - DATA CONFLICT",IF(Z420="SERVICE / STOCKOUT REVIEW","P1 - SERVICE",IF(Z420="OVERSTOCK REVIEW","P2 - OVERSTOCK",IF(Z420="REPLENISHMENT REVIEW","P2 - REPLENISH","P3 - MONITOR"))))</f>
        <v/>
      </c>
      <c r="AC420" s="16" t="n">
        <v>8381.717836456559</v>
      </c>
      <c r="AD420" s="16" t="n">
        <v>7962.63194463373</v>
      </c>
      <c r="AE420" s="16">
        <f>IF(OR(AD420="",H420=""),"",H420*AD420)</f>
        <v/>
      </c>
    </row>
    <row r="421">
      <c r="A421" s="7" t="inlineStr">
        <is>
          <t>2022-12-31</t>
        </is>
      </c>
      <c r="B421" s="7" t="n">
        <v>2377</v>
      </c>
      <c r="C421" s="8" t="inlineStr">
        <is>
          <t>VietMotion UC-25</t>
        </is>
      </c>
      <c r="D421" s="8" t="inlineStr">
        <is>
          <t>Streetwear</t>
        </is>
      </c>
      <c r="E421" s="7" t="inlineStr">
        <is>
          <t>Everyday</t>
        </is>
      </c>
      <c r="F421" s="7" t="inlineStr">
        <is>
          <t>M</t>
        </is>
      </c>
      <c r="G421" s="7" t="inlineStr">
        <is>
          <t>silver</t>
        </is>
      </c>
      <c r="H421" s="9" t="n">
        <v>3</v>
      </c>
      <c r="I421" s="9" t="n">
        <v>1</v>
      </c>
      <c r="J421" s="10" t="n">
        <v>1</v>
      </c>
      <c r="K421" s="10">
        <f>IFERROR(J421/30,0)</f>
        <v/>
      </c>
      <c r="L421" s="9" t="n">
        <v>0</v>
      </c>
      <c r="M421" s="11" t="n">
        <v>1</v>
      </c>
      <c r="N421" s="9" t="n">
        <v>0</v>
      </c>
      <c r="O421" s="9" t="n">
        <v>0</v>
      </c>
      <c r="P421" s="9" t="n">
        <v>0</v>
      </c>
      <c r="Q421" s="12" t="n">
        <v>0</v>
      </c>
      <c r="R421" s="12" t="n">
        <v>0</v>
      </c>
      <c r="S421" s="9">
        <f>H421+Q421-R421</f>
        <v/>
      </c>
      <c r="T421" s="12" t="n">
        <v>14</v>
      </c>
      <c r="U421" s="12" t="n">
        <v>7</v>
      </c>
      <c r="V421" s="12" t="n">
        <v>7</v>
      </c>
      <c r="W421" s="10">
        <f>K421*(T421+U421)</f>
        <v/>
      </c>
      <c r="X421" s="10">
        <f>K421*(T421+U421+V421)</f>
        <v/>
      </c>
      <c r="Y421" s="10">
        <f>IF(K421&gt;0,H421/K421,99999)</f>
        <v/>
      </c>
      <c r="Z421" s="8">
        <f>IF(AND(OR(L421&gt;=1,M421&lt;0.95),Y421&gt;120),"DATA CONFLICT - VERIFY",IF(OR(L421&gt;=1,M421&lt;0.95,Y421&lt;=14),"SERVICE / STOCKOUT REVIEW",IF(Y421&gt;120,"OVERSTOCK REVIEW",IF(S421&lt;=W421,"REPLENISHMENT REVIEW","NORMAL MONITORING"))))</f>
        <v/>
      </c>
      <c r="AA421" s="9">
        <f>IF(OR(Z421="DATA CONFLICT - VERIFY",Z421="SERVICE / STOCKOUT REVIEW"),0,IF(S421&lt;=W421,MAX(0,ROUNDUP(X421-S421,0)),0))</f>
        <v/>
      </c>
      <c r="AB421" s="8">
        <f>IF(Z421="DATA CONFLICT - VERIFY","P1 - DATA CONFLICT",IF(Z421="SERVICE / STOCKOUT REVIEW","P1 - SERVICE",IF(Z421="OVERSTOCK REVIEW","P2 - OVERSTOCK",IF(Z421="REPLENISHMENT REVIEW","P2 - REPLENISH","P3 - MONITOR"))))</f>
        <v/>
      </c>
      <c r="AC421" s="10" t="n">
        <v>10451.7</v>
      </c>
      <c r="AD421" s="10" t="n">
        <v>9744.119909999999</v>
      </c>
      <c r="AE421" s="10">
        <f>IF(OR(AD421="",H421=""),"",H421*AD421)</f>
        <v/>
      </c>
    </row>
    <row r="422">
      <c r="A422" s="13" t="inlineStr">
        <is>
          <t>2022-12-31</t>
        </is>
      </c>
      <c r="B422" s="13" t="n">
        <v>2378</v>
      </c>
      <c r="C422" s="14" t="inlineStr">
        <is>
          <t>VietMotion UC-26</t>
        </is>
      </c>
      <c r="D422" s="14" t="inlineStr">
        <is>
          <t>Streetwear</t>
        </is>
      </c>
      <c r="E422" s="13" t="inlineStr">
        <is>
          <t>Everyday</t>
        </is>
      </c>
      <c r="F422" s="13" t="inlineStr">
        <is>
          <t>L</t>
        </is>
      </c>
      <c r="G422" s="13" t="inlineStr">
        <is>
          <t>pink</t>
        </is>
      </c>
      <c r="H422" s="15" t="n">
        <v>6</v>
      </c>
      <c r="I422" s="15" t="n">
        <v>1</v>
      </c>
      <c r="J422" s="16" t="n">
        <v>1.5</v>
      </c>
      <c r="K422" s="16">
        <f>IFERROR(J422/30,0)</f>
        <v/>
      </c>
      <c r="L422" s="15" t="n">
        <v>0</v>
      </c>
      <c r="M422" s="17" t="n">
        <v>1</v>
      </c>
      <c r="N422" s="15" t="n">
        <v>0</v>
      </c>
      <c r="O422" s="15" t="n">
        <v>1</v>
      </c>
      <c r="P422" s="15" t="n">
        <v>0</v>
      </c>
      <c r="Q422" s="12" t="n">
        <v>0</v>
      </c>
      <c r="R422" s="12" t="n">
        <v>0</v>
      </c>
      <c r="S422" s="15">
        <f>H422+Q422-R422</f>
        <v/>
      </c>
      <c r="T422" s="12" t="n">
        <v>14</v>
      </c>
      <c r="U422" s="12" t="n">
        <v>7</v>
      </c>
      <c r="V422" s="12" t="n">
        <v>7</v>
      </c>
      <c r="W422" s="16">
        <f>K422*(T422+U422)</f>
        <v/>
      </c>
      <c r="X422" s="16">
        <f>K422*(T422+U422+V422)</f>
        <v/>
      </c>
      <c r="Y422" s="16">
        <f>IF(K422&gt;0,H422/K422,99999)</f>
        <v/>
      </c>
      <c r="Z422" s="14">
        <f>IF(AND(OR(L422&gt;=1,M422&lt;0.95),Y422&gt;120),"DATA CONFLICT - VERIFY",IF(OR(L422&gt;=1,M422&lt;0.95,Y422&lt;=14),"SERVICE / STOCKOUT REVIEW",IF(Y422&gt;120,"OVERSTOCK REVIEW",IF(S422&lt;=W422,"REPLENISHMENT REVIEW","NORMAL MONITORING"))))</f>
        <v/>
      </c>
      <c r="AA422" s="15">
        <f>IF(OR(Z422="DATA CONFLICT - VERIFY",Z422="SERVICE / STOCKOUT REVIEW"),0,IF(S422&lt;=W422,MAX(0,ROUNDUP(X422-S422,0)),0))</f>
        <v/>
      </c>
      <c r="AB422" s="14">
        <f>IF(Z422="DATA CONFLICT - VERIFY","P1 - DATA CONFLICT",IF(Z422="SERVICE / STOCKOUT REVIEW","P1 - SERVICE",IF(Z422="OVERSTOCK REVIEW","P2 - OVERSTOCK",IF(Z422="REPLENISHMENT REVIEW","P2 - REPLENISH","P3 - MONITOR"))))</f>
        <v/>
      </c>
      <c r="AC422" s="16" t="n">
        <v>9752.4</v>
      </c>
      <c r="AD422" s="16" t="n">
        <v>9264.780000000001</v>
      </c>
      <c r="AE422" s="16">
        <f>IF(OR(AD422="",H422=""),"",H422*AD422)</f>
        <v/>
      </c>
    </row>
    <row r="423">
      <c r="A423" s="7" t="inlineStr">
        <is>
          <t>2022-12-31</t>
        </is>
      </c>
      <c r="B423" s="7" t="n">
        <v>2379</v>
      </c>
      <c r="C423" s="8" t="inlineStr">
        <is>
          <t>VietMotion UC-27</t>
        </is>
      </c>
      <c r="D423" s="8" t="inlineStr">
        <is>
          <t>Streetwear</t>
        </is>
      </c>
      <c r="E423" s="7" t="inlineStr">
        <is>
          <t>Everyday</t>
        </is>
      </c>
      <c r="F423" s="7" t="inlineStr">
        <is>
          <t>XL</t>
        </is>
      </c>
      <c r="G423" s="7" t="inlineStr">
        <is>
          <t>yellow</t>
        </is>
      </c>
      <c r="H423" s="9" t="n">
        <v>287</v>
      </c>
      <c r="I423" s="9" t="n">
        <v>8</v>
      </c>
      <c r="J423" s="10" t="n">
        <v>5.666666666666667</v>
      </c>
      <c r="K423" s="10">
        <f>IFERROR(J423/30,0)</f>
        <v/>
      </c>
      <c r="L423" s="9" t="n">
        <v>0</v>
      </c>
      <c r="M423" s="11" t="n">
        <v>1</v>
      </c>
      <c r="N423" s="9" t="n">
        <v>0</v>
      </c>
      <c r="O423" s="9" t="n">
        <v>1</v>
      </c>
      <c r="P423" s="9" t="n">
        <v>0</v>
      </c>
      <c r="Q423" s="12" t="n">
        <v>0</v>
      </c>
      <c r="R423" s="12" t="n">
        <v>0</v>
      </c>
      <c r="S423" s="9">
        <f>H423+Q423-R423</f>
        <v/>
      </c>
      <c r="T423" s="12" t="n">
        <v>14</v>
      </c>
      <c r="U423" s="12" t="n">
        <v>7</v>
      </c>
      <c r="V423" s="12" t="n">
        <v>7</v>
      </c>
      <c r="W423" s="10">
        <f>K423*(T423+U423)</f>
        <v/>
      </c>
      <c r="X423" s="10">
        <f>K423*(T423+U423+V423)</f>
        <v/>
      </c>
      <c r="Y423" s="10">
        <f>IF(K423&gt;0,H423/K423,99999)</f>
        <v/>
      </c>
      <c r="Z423" s="8">
        <f>IF(AND(OR(L423&gt;=1,M423&lt;0.95),Y423&gt;120),"DATA CONFLICT - VERIFY",IF(OR(L423&gt;=1,M423&lt;0.95,Y423&lt;=14),"SERVICE / STOCKOUT REVIEW",IF(Y423&gt;120,"OVERSTOCK REVIEW",IF(S423&lt;=W423,"REPLENISHMENT REVIEW","NORMAL MONITORING"))))</f>
        <v/>
      </c>
      <c r="AA423" s="9">
        <f>IF(OR(Z423="DATA CONFLICT - VERIFY",Z423="SERVICE / STOCKOUT REVIEW"),0,IF(S423&lt;=W423,MAX(0,ROUNDUP(X423-S423,0)),0))</f>
        <v/>
      </c>
      <c r="AB423" s="8">
        <f>IF(Z423="DATA CONFLICT - VERIFY","P1 - DATA CONFLICT",IF(Z423="SERVICE / STOCKOUT REVIEW","P1 - SERVICE",IF(Z423="OVERSTOCK REVIEW","P2 - OVERSTOCK",IF(Z423="REPLENISHMENT REVIEW","P2 - REPLENISH","P3 - MONITOR"))))</f>
        <v/>
      </c>
      <c r="AC423" s="10" t="n">
        <v>2324.005436893204</v>
      </c>
      <c r="AD423" s="10" t="n">
        <v>2207.805165048544</v>
      </c>
      <c r="AE423" s="10">
        <f>IF(OR(AD423="",H423=""),"",H423*AD423)</f>
        <v/>
      </c>
    </row>
    <row r="424">
      <c r="A424" s="13" t="inlineStr">
        <is>
          <t>2022-12-31</t>
        </is>
      </c>
      <c r="B424" s="13" t="n">
        <v>2380</v>
      </c>
      <c r="C424" s="14" t="inlineStr">
        <is>
          <t>VietMotion UC-28</t>
        </is>
      </c>
      <c r="D424" s="14" t="inlineStr">
        <is>
          <t>Streetwear</t>
        </is>
      </c>
      <c r="E424" s="13" t="inlineStr">
        <is>
          <t>Everyday</t>
        </is>
      </c>
      <c r="F424" s="13" t="inlineStr">
        <is>
          <t>S</t>
        </is>
      </c>
      <c r="G424" s="13" t="inlineStr">
        <is>
          <t>red</t>
        </is>
      </c>
      <c r="H424" s="15" t="n">
        <v>539</v>
      </c>
      <c r="I424" s="15" t="n">
        <v>5</v>
      </c>
      <c r="J424" s="16" t="n">
        <v>5.333333333333333</v>
      </c>
      <c r="K424" s="16">
        <f>IFERROR(J424/30,0)</f>
        <v/>
      </c>
      <c r="L424" s="15" t="n">
        <v>1</v>
      </c>
      <c r="M424" s="17" t="n">
        <v>0.9667</v>
      </c>
      <c r="N424" s="15" t="n">
        <v>1</v>
      </c>
      <c r="O424" s="15" t="n">
        <v>1</v>
      </c>
      <c r="P424" s="15" t="n">
        <v>0</v>
      </c>
      <c r="Q424" s="12" t="n">
        <v>0</v>
      </c>
      <c r="R424" s="12" t="n">
        <v>0</v>
      </c>
      <c r="S424" s="15">
        <f>H424+Q424-R424</f>
        <v/>
      </c>
      <c r="T424" s="12" t="n">
        <v>14</v>
      </c>
      <c r="U424" s="12" t="n">
        <v>7</v>
      </c>
      <c r="V424" s="12" t="n">
        <v>7</v>
      </c>
      <c r="W424" s="16">
        <f>K424*(T424+U424)</f>
        <v/>
      </c>
      <c r="X424" s="16">
        <f>K424*(T424+U424+V424)</f>
        <v/>
      </c>
      <c r="Y424" s="16">
        <f>IF(K424&gt;0,H424/K424,99999)</f>
        <v/>
      </c>
      <c r="Z424" s="14">
        <f>IF(AND(OR(L424&gt;=1,M424&lt;0.95),Y424&gt;120),"DATA CONFLICT - VERIFY",IF(OR(L424&gt;=1,M424&lt;0.95,Y424&lt;=14),"SERVICE / STOCKOUT REVIEW",IF(Y424&gt;120,"OVERSTOCK REVIEW",IF(S424&lt;=W424,"REPLENISHMENT REVIEW","NORMAL MONITORING"))))</f>
        <v/>
      </c>
      <c r="AA424" s="15">
        <f>IF(OR(Z424="DATA CONFLICT - VERIFY",Z424="SERVICE / STOCKOUT REVIEW"),0,IF(S424&lt;=W424,MAX(0,ROUNDUP(X424-S424,0)),0))</f>
        <v/>
      </c>
      <c r="AB424" s="14">
        <f>IF(Z424="DATA CONFLICT - VERIFY","P1 - DATA CONFLICT",IF(Z424="SERVICE / STOCKOUT REVIEW","P1 - SERVICE",IF(Z424="OVERSTOCK REVIEW","P2 - OVERSTOCK",IF(Z424="REPLENISHMENT REVIEW","P2 - REPLENISH","P3 - MONITOR"))))</f>
        <v/>
      </c>
      <c r="AC424" s="16" t="n">
        <v>3754.707100930566</v>
      </c>
      <c r="AD424" s="16" t="n">
        <v>2446.94261767645</v>
      </c>
      <c r="AE424" s="16">
        <f>IF(OR(AD424="",H424=""),"",H424*AD424)</f>
        <v/>
      </c>
    </row>
    <row r="425">
      <c r="A425" s="7" t="inlineStr">
        <is>
          <t>2022-12-31</t>
        </is>
      </c>
      <c r="B425" s="7" t="n">
        <v>2384</v>
      </c>
      <c r="C425" s="8" t="inlineStr">
        <is>
          <t>VietMotion UC-32</t>
        </is>
      </c>
      <c r="D425" s="8" t="inlineStr">
        <is>
          <t>Streetwear</t>
        </is>
      </c>
      <c r="E425" s="7" t="inlineStr">
        <is>
          <t>Everyday</t>
        </is>
      </c>
      <c r="F425" s="7" t="inlineStr">
        <is>
          <t>S</t>
        </is>
      </c>
      <c r="G425" s="7" t="inlineStr">
        <is>
          <t>white</t>
        </is>
      </c>
      <c r="H425" s="9" t="n">
        <v>333</v>
      </c>
      <c r="I425" s="9" t="n">
        <v>2</v>
      </c>
      <c r="J425" s="10" t="n">
        <v>1.666666666666667</v>
      </c>
      <c r="K425" s="10">
        <f>IFERROR(J425/30,0)</f>
        <v/>
      </c>
      <c r="L425" s="9" t="n">
        <v>2</v>
      </c>
      <c r="M425" s="11" t="n">
        <v>0.9333</v>
      </c>
      <c r="N425" s="9" t="n">
        <v>1</v>
      </c>
      <c r="O425" s="9" t="n">
        <v>1</v>
      </c>
      <c r="P425" s="9" t="n">
        <v>0</v>
      </c>
      <c r="Q425" s="12" t="n">
        <v>0</v>
      </c>
      <c r="R425" s="12" t="n">
        <v>0</v>
      </c>
      <c r="S425" s="9">
        <f>H425+Q425-R425</f>
        <v/>
      </c>
      <c r="T425" s="12" t="n">
        <v>14</v>
      </c>
      <c r="U425" s="12" t="n">
        <v>7</v>
      </c>
      <c r="V425" s="12" t="n">
        <v>7</v>
      </c>
      <c r="W425" s="10">
        <f>K425*(T425+U425)</f>
        <v/>
      </c>
      <c r="X425" s="10">
        <f>K425*(T425+U425+V425)</f>
        <v/>
      </c>
      <c r="Y425" s="10">
        <f>IF(K425&gt;0,H425/K425,99999)</f>
        <v/>
      </c>
      <c r="Z425" s="8">
        <f>IF(AND(OR(L425&gt;=1,M425&lt;0.95),Y425&gt;120),"DATA CONFLICT - VERIFY",IF(OR(L425&gt;=1,M425&lt;0.95,Y425&lt;=14),"SERVICE / STOCKOUT REVIEW",IF(Y425&gt;120,"OVERSTOCK REVIEW",IF(S425&lt;=W425,"REPLENISHMENT REVIEW","NORMAL MONITORING"))))</f>
        <v/>
      </c>
      <c r="AA425" s="9">
        <f>IF(OR(Z425="DATA CONFLICT - VERIFY",Z425="SERVICE / STOCKOUT REVIEW"),0,IF(S425&lt;=W425,MAX(0,ROUNDUP(X425-S425,0)),0))</f>
        <v/>
      </c>
      <c r="AB425" s="8">
        <f>IF(Z425="DATA CONFLICT - VERIFY","P1 - DATA CONFLICT",IF(Z425="SERVICE / STOCKOUT REVIEW","P1 - SERVICE",IF(Z425="OVERSTOCK REVIEW","P2 - OVERSTOCK",IF(Z425="REPLENISHMENT REVIEW","P2 - REPLENISH","P3 - MONITOR"))))</f>
        <v/>
      </c>
      <c r="AC425" s="10" t="n">
        <v>7792.531998777506</v>
      </c>
      <c r="AD425" s="10" t="n">
        <v>4305.373929324572</v>
      </c>
      <c r="AE425" s="10">
        <f>IF(OR(AD425="",H425=""),"",H425*AD425)</f>
        <v/>
      </c>
    </row>
    <row r="426">
      <c r="A426" s="13" t="inlineStr">
        <is>
          <t>2022-12-31</t>
        </is>
      </c>
      <c r="B426" s="13" t="n">
        <v>2385</v>
      </c>
      <c r="C426" s="14" t="inlineStr">
        <is>
          <t>VietMotion UC-33</t>
        </is>
      </c>
      <c r="D426" s="14" t="inlineStr">
        <is>
          <t>Streetwear</t>
        </is>
      </c>
      <c r="E426" s="13" t="inlineStr">
        <is>
          <t>Everyday</t>
        </is>
      </c>
      <c r="F426" s="13" t="inlineStr">
        <is>
          <t>M</t>
        </is>
      </c>
      <c r="G426" s="13" t="inlineStr">
        <is>
          <t>purple</t>
        </is>
      </c>
      <c r="H426" s="15" t="n">
        <v>126</v>
      </c>
      <c r="I426" s="15" t="n">
        <v>1</v>
      </c>
      <c r="J426" s="16" t="n">
        <v>1.666666666666667</v>
      </c>
      <c r="K426" s="16">
        <f>IFERROR(J426/30,0)</f>
        <v/>
      </c>
      <c r="L426" s="15" t="n">
        <v>1</v>
      </c>
      <c r="M426" s="17" t="n">
        <v>0.9667</v>
      </c>
      <c r="N426" s="15" t="n">
        <v>1</v>
      </c>
      <c r="O426" s="15" t="n">
        <v>1</v>
      </c>
      <c r="P426" s="15" t="n">
        <v>0</v>
      </c>
      <c r="Q426" s="12" t="n">
        <v>0</v>
      </c>
      <c r="R426" s="12" t="n">
        <v>0</v>
      </c>
      <c r="S426" s="15">
        <f>H426+Q426-R426</f>
        <v/>
      </c>
      <c r="T426" s="12" t="n">
        <v>14</v>
      </c>
      <c r="U426" s="12" t="n">
        <v>7</v>
      </c>
      <c r="V426" s="12" t="n">
        <v>7</v>
      </c>
      <c r="W426" s="16">
        <f>K426*(T426+U426)</f>
        <v/>
      </c>
      <c r="X426" s="16">
        <f>K426*(T426+U426+V426)</f>
        <v/>
      </c>
      <c r="Y426" s="16">
        <f>IF(K426&gt;0,H426/K426,99999)</f>
        <v/>
      </c>
      <c r="Z426" s="14">
        <f>IF(AND(OR(L426&gt;=1,M426&lt;0.95),Y426&gt;120),"DATA CONFLICT - VERIFY",IF(OR(L426&gt;=1,M426&lt;0.95,Y426&lt;=14),"SERVICE / STOCKOUT REVIEW",IF(Y426&gt;120,"OVERSTOCK REVIEW",IF(S426&lt;=W426,"REPLENISHMENT REVIEW","NORMAL MONITORING"))))</f>
        <v/>
      </c>
      <c r="AA426" s="15">
        <f>IF(OR(Z426="DATA CONFLICT - VERIFY",Z426="SERVICE / STOCKOUT REVIEW"),0,IF(S426&lt;=W426,MAX(0,ROUNDUP(X426-S426,0)),0))</f>
        <v/>
      </c>
      <c r="AB426" s="14">
        <f>IF(Z426="DATA CONFLICT - VERIFY","P1 - DATA CONFLICT",IF(Z426="SERVICE / STOCKOUT REVIEW","P1 - SERVICE",IF(Z426="OVERSTOCK REVIEW","P2 - OVERSTOCK",IF(Z426="REPLENISHMENT REVIEW","P2 - REPLENISH","P3 - MONITOR"))))</f>
        <v/>
      </c>
      <c r="AC426" s="16" t="n">
        <v>9105.602557856271</v>
      </c>
      <c r="AD426" s="16" t="n">
        <v>6343.873302058465</v>
      </c>
      <c r="AE426" s="16">
        <f>IF(OR(AD426="",H426=""),"",H426*AD426)</f>
        <v/>
      </c>
    </row>
    <row r="427">
      <c r="A427" s="7" t="inlineStr">
        <is>
          <t>2022-12-31</t>
        </is>
      </c>
      <c r="B427" s="7" t="n">
        <v>2388</v>
      </c>
      <c r="C427" s="8" t="inlineStr">
        <is>
          <t>VietMotion UC-36</t>
        </is>
      </c>
      <c r="D427" s="8" t="inlineStr">
        <is>
          <t>Streetwear</t>
        </is>
      </c>
      <c r="E427" s="7" t="inlineStr">
        <is>
          <t>Everyday</t>
        </is>
      </c>
      <c r="F427" s="7" t="inlineStr">
        <is>
          <t>S</t>
        </is>
      </c>
      <c r="G427" s="7" t="inlineStr">
        <is>
          <t>pink</t>
        </is>
      </c>
      <c r="H427" s="9" t="n">
        <v>979</v>
      </c>
      <c r="I427" s="9" t="n">
        <v>1</v>
      </c>
      <c r="J427" s="10" t="n">
        <v>1.333333333333333</v>
      </c>
      <c r="K427" s="10">
        <f>IFERROR(J427/30,0)</f>
        <v/>
      </c>
      <c r="L427" s="9" t="n">
        <v>1</v>
      </c>
      <c r="M427" s="11" t="n">
        <v>0.9667</v>
      </c>
      <c r="N427" s="9" t="n">
        <v>1</v>
      </c>
      <c r="O427" s="9" t="n">
        <v>1</v>
      </c>
      <c r="P427" s="9" t="n">
        <v>0</v>
      </c>
      <c r="Q427" s="12" t="n">
        <v>0</v>
      </c>
      <c r="R427" s="12" t="n">
        <v>0</v>
      </c>
      <c r="S427" s="9">
        <f>H427+Q427-R427</f>
        <v/>
      </c>
      <c r="T427" s="12" t="n">
        <v>14</v>
      </c>
      <c r="U427" s="12" t="n">
        <v>7</v>
      </c>
      <c r="V427" s="12" t="n">
        <v>7</v>
      </c>
      <c r="W427" s="10">
        <f>K427*(T427+U427)</f>
        <v/>
      </c>
      <c r="X427" s="10">
        <f>K427*(T427+U427+V427)</f>
        <v/>
      </c>
      <c r="Y427" s="10">
        <f>IF(K427&gt;0,H427/K427,99999)</f>
        <v/>
      </c>
      <c r="Z427" s="8">
        <f>IF(AND(OR(L427&gt;=1,M427&lt;0.95),Y427&gt;120),"DATA CONFLICT - VERIFY",IF(OR(L427&gt;=1,M427&lt;0.95,Y427&lt;=14),"SERVICE / STOCKOUT REVIEW",IF(Y427&gt;120,"OVERSTOCK REVIEW",IF(S427&lt;=W427,"REPLENISHMENT REVIEW","NORMAL MONITORING"))))</f>
        <v/>
      </c>
      <c r="AA427" s="9">
        <f>IF(OR(Z427="DATA CONFLICT - VERIFY",Z427="SERVICE / STOCKOUT REVIEW"),0,IF(S427&lt;=W427,MAX(0,ROUNDUP(X427-S427,0)),0))</f>
        <v/>
      </c>
      <c r="AB427" s="8">
        <f>IF(Z427="DATA CONFLICT - VERIFY","P1 - DATA CONFLICT",IF(Z427="SERVICE / STOCKOUT REVIEW","P1 - SERVICE",IF(Z427="OVERSTOCK REVIEW","P2 - OVERSTOCK",IF(Z427="REPLENISHMENT REVIEW","P2 - REPLENISH","P3 - MONITOR"))))</f>
        <v/>
      </c>
      <c r="AC427" s="10" t="n">
        <v>3825.871123778501</v>
      </c>
      <c r="AD427" s="10" t="n">
        <v>2462.330655263844</v>
      </c>
      <c r="AE427" s="10">
        <f>IF(OR(AD427="",H427=""),"",H427*AD427)</f>
        <v/>
      </c>
    </row>
    <row r="428">
      <c r="A428" s="13" t="inlineStr">
        <is>
          <t>2022-12-31</t>
        </is>
      </c>
      <c r="B428" s="13" t="n">
        <v>2391</v>
      </c>
      <c r="C428" s="14" t="inlineStr">
        <is>
          <t>VietMotion UC-39</t>
        </is>
      </c>
      <c r="D428" s="14" t="inlineStr">
        <is>
          <t>Streetwear</t>
        </is>
      </c>
      <c r="E428" s="13" t="inlineStr">
        <is>
          <t>Everyday</t>
        </is>
      </c>
      <c r="F428" s="13" t="inlineStr">
        <is>
          <t>XL</t>
        </is>
      </c>
      <c r="G428" s="13" t="inlineStr">
        <is>
          <t>black</t>
        </is>
      </c>
      <c r="H428" s="15" t="n">
        <v>130</v>
      </c>
      <c r="I428" s="15" t="n">
        <v>1</v>
      </c>
      <c r="J428" s="16" t="n">
        <v>1.333333333333333</v>
      </c>
      <c r="K428" s="16">
        <f>IFERROR(J428/30,0)</f>
        <v/>
      </c>
      <c r="L428" s="15" t="n">
        <v>2</v>
      </c>
      <c r="M428" s="17" t="n">
        <v>0.9333</v>
      </c>
      <c r="N428" s="15" t="n">
        <v>1</v>
      </c>
      <c r="O428" s="15" t="n">
        <v>1</v>
      </c>
      <c r="P428" s="15" t="n">
        <v>0</v>
      </c>
      <c r="Q428" s="12" t="n">
        <v>0</v>
      </c>
      <c r="R428" s="12" t="n">
        <v>0</v>
      </c>
      <c r="S428" s="15">
        <f>H428+Q428-R428</f>
        <v/>
      </c>
      <c r="T428" s="12" t="n">
        <v>14</v>
      </c>
      <c r="U428" s="12" t="n">
        <v>7</v>
      </c>
      <c r="V428" s="12" t="n">
        <v>7</v>
      </c>
      <c r="W428" s="16">
        <f>K428*(T428+U428)</f>
        <v/>
      </c>
      <c r="X428" s="16">
        <f>K428*(T428+U428+V428)</f>
        <v/>
      </c>
      <c r="Y428" s="16">
        <f>IF(K428&gt;0,H428/K428,99999)</f>
        <v/>
      </c>
      <c r="Z428" s="14">
        <f>IF(AND(OR(L428&gt;=1,M428&lt;0.95),Y428&gt;120),"DATA CONFLICT - VERIFY",IF(OR(L428&gt;=1,M428&lt;0.95,Y428&lt;=14),"SERVICE / STOCKOUT REVIEW",IF(Y428&gt;120,"OVERSTOCK REVIEW",IF(S428&lt;=W428,"REPLENISHMENT REVIEW","NORMAL MONITORING"))))</f>
        <v/>
      </c>
      <c r="AA428" s="15">
        <f>IF(OR(Z428="DATA CONFLICT - VERIFY",Z428="SERVICE / STOCKOUT REVIEW"),0,IF(S428&lt;=W428,MAX(0,ROUNDUP(X428-S428,0)),0))</f>
        <v/>
      </c>
      <c r="AB428" s="14">
        <f>IF(Z428="DATA CONFLICT - VERIFY","P1 - DATA CONFLICT",IF(Z428="SERVICE / STOCKOUT REVIEW","P1 - SERVICE",IF(Z428="OVERSTOCK REVIEW","P2 - OVERSTOCK",IF(Z428="REPLENISHMENT REVIEW","P2 - REPLENISH","P3 - MONITOR"))))</f>
        <v/>
      </c>
      <c r="AC428" s="16" t="n">
        <v>9057.265510948906</v>
      </c>
      <c r="AD428" s="16" t="n">
        <v>8604.40223540146</v>
      </c>
      <c r="AE428" s="16">
        <f>IF(OR(AD428="",H428=""),"",H428*AD428)</f>
        <v/>
      </c>
    </row>
  </sheetData>
  <autoFilter ref="A4:AE428"/>
  <mergeCells count="2">
    <mergeCell ref="A2:AB2"/>
    <mergeCell ref="A1:AB1"/>
  </mergeCells>
  <conditionalFormatting sqref="M5:M428">
    <cfRule type="colorScale" priority="1">
      <colorScale>
        <cfvo type="num" val="0.8"/>
        <cfvo type="num" val="0.95"/>
        <cfvo type="num" val="1"/>
        <color rgb="00F8696B"/>
        <color rgb="00FFEB84"/>
        <color rgb="0063BE7B"/>
      </colorScale>
    </cfRule>
  </conditionalFormatting>
  <conditionalFormatting sqref="Z5:Z428">
    <cfRule type="expression" priority="2" dxfId="0">
      <formula>ISNUMBER(SEARCH("CONFLICT",Z5))</formula>
    </cfRule>
    <cfRule type="expression" priority="3" dxfId="1">
      <formula>ISNUMBER(SEARCH("OVERSTOCK",Z5))</formula>
    </cfRule>
    <cfRule type="expression" priority="4" dxfId="0">
      <formula>ISNUMBER(SEARCH("SERVICE",Z5))</formula>
    </cfRule>
  </conditionalFormatting>
  <conditionalFormatting sqref="AB5:AB428">
    <cfRule type="expression" priority="5" dxfId="0">
      <formula>ISNUMBER(SEARCH("P1",AB5))</formula>
    </cfRule>
  </conditionalFormatting>
  <dataValidations count="1">
    <dataValidation sqref="Q5:Q428 R5:R428 T5:T428 U5:U428 V5:V428" showDropDown="0" showInputMessage="0" showErrorMessage="0" allowBlank="0" errorTitle="Giá trị không hợp lệ" error="Nhập số nguyên không âm." promptTitle="Trường nhập liệu" prompt="Nhập dữ liệu vận hành thực tế trước khi dùng kết quả." type="whole" operator="greaterThanOrEqual">
      <formula1>0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5" customWidth="1" min="3" max="3"/>
  </cols>
  <sheetData>
    <row r="1" ht="30" customHeight="1">
      <c r="A1" s="1" t="inlineStr">
        <is>
          <t>KPI Summary | Data Baseline &amp; Alerts</t>
        </is>
      </c>
    </row>
    <row r="2" ht="32" customHeight="1">
      <c r="A2" s="2" t="inlineStr">
        <is>
          <t>Source: inventory.csv; latest snapshot = 31/12/2022. Source rates describe the dataset and are not current company KPIs.</t>
        </is>
      </c>
    </row>
    <row r="3"/>
    <row r="4" ht="3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Interpretation / rule</t>
        </is>
      </c>
    </row>
    <row r="5" ht="32" customHeight="1">
      <c r="A5" s="4" t="inlineStr">
        <is>
          <t>Inventory snapshots</t>
        </is>
      </c>
      <c r="B5" s="4" t="n">
        <v>60247</v>
      </c>
      <c r="C5" s="4" t="inlineStr">
        <is>
          <t>From 2012-07-31 to 2022-12-31</t>
        </is>
      </c>
    </row>
    <row r="6" ht="32" customHeight="1">
      <c r="A6" s="5" t="inlineStr">
        <is>
          <t>Unique product IDs in inventory</t>
        </is>
      </c>
      <c r="B6" s="5" t="n">
        <v>1624</v>
      </c>
      <c r="C6" s="5" t="inlineStr">
        <is>
          <t>SKUs with at least one record in inventory.csv</t>
        </is>
      </c>
    </row>
    <row r="7" ht="32" customHeight="1">
      <c r="A7" s="4" t="inlineStr">
        <is>
          <t>Product master SKUs</t>
        </is>
      </c>
      <c r="B7" s="4" t="n">
        <v>2412</v>
      </c>
      <c r="C7" s="4" t="inlineStr">
        <is>
          <t>products.csv</t>
        </is>
      </c>
    </row>
    <row r="8" ht="32" customHeight="1">
      <c r="A8" s="5" t="inlineStr">
        <is>
          <t>Latest snapshot SKU rows</t>
        </is>
      </c>
      <c r="B8" s="5" t="n">
        <v>424</v>
      </c>
      <c r="C8" s="5" t="inlineStr">
        <is>
          <t>Snapshot 2022-12-31</t>
        </is>
      </c>
    </row>
    <row r="9" ht="32" customHeight="1">
      <c r="A9" s="4" t="inlineStr">
        <is>
          <t>Source stockout_flag rate</t>
        </is>
      </c>
      <c r="B9" s="18" t="n">
        <v>0.6734111242053546</v>
      </c>
      <c r="C9" s="4" t="inlineStr">
        <is>
          <t>Rate across all of inventory.csv; definition requires verification</t>
        </is>
      </c>
    </row>
    <row r="10" ht="32" customHeight="1">
      <c r="A10" s="5" t="inlineStr">
        <is>
          <t>Source overstock_flag rate</t>
        </is>
      </c>
      <c r="B10" s="19" t="n">
        <v>0.7625607914087008</v>
      </c>
      <c r="C10" s="5" t="inlineStr">
        <is>
          <t>Rate across all of inventory.csv; definition requires verification</t>
        </is>
      </c>
    </row>
    <row r="11" ht="32" customHeight="1">
      <c r="A11" s="4" t="inlineStr">
        <is>
          <t>Rows with both source flags</t>
        </is>
      </c>
      <c r="B11" s="4" t="n">
        <v>30495</v>
      </c>
      <c r="C11" s="4" t="inlineStr">
        <is>
          <t>stockout_flag=1 and overstock_flag=1 simultaneously</t>
        </is>
      </c>
    </row>
    <row r="12" ht="32" customHeight="1">
      <c r="A12" s="5" t="inlineStr">
        <is>
          <t>Source reorder_flag total</t>
        </is>
      </c>
      <c r="B12" s="5" t="n">
        <v>0</v>
      </c>
      <c r="C12" s="5" t="inlineStr">
        <is>
          <t>In the source data, the total reorder_flag count is 0</t>
        </is>
      </c>
    </row>
    <row r="13" ht="32" customHeight="1">
      <c r="A13" s="4" t="inlineStr">
        <is>
          <t>Latest snapshot data conflicts (recomputed)</t>
        </is>
      </c>
      <c r="B13" s="4" t="n">
        <v>228</v>
      </c>
      <c r="C13" s="4" t="inlineStr">
        <is>
          <t>Stockout/service signal alongside calculated DOS &gt;120 days</t>
        </is>
      </c>
    </row>
    <row r="14" ht="32" customHeight="1">
      <c r="A14" s="5" t="inlineStr">
        <is>
          <t>Latest snapshot mean fill rate</t>
        </is>
      </c>
      <c r="B14" s="19" t="n">
        <v>0.9612441037735847</v>
      </c>
      <c r="C14" s="5" t="inlineStr">
        <is>
          <t>Average fill_rate in the latest snapshot</t>
        </is>
      </c>
    </row>
    <row r="15"/>
    <row r="16"/>
    <row r="17">
      <c r="A17" s="20" t="inlineStr">
        <is>
          <t>Latest Snapshot by Category</t>
        </is>
      </c>
    </row>
    <row r="18">
      <c r="A18" s="21" t="inlineStr">
        <is>
          <t>Category</t>
        </is>
      </c>
      <c r="B18" s="21" t="inlineStr">
        <is>
          <t>SKU Count</t>
        </is>
      </c>
      <c r="C18" s="21" t="inlineStr">
        <is>
          <t>On-hand Units</t>
        </is>
      </c>
      <c r="D18" s="21" t="inlineStr">
        <is>
          <t>Units Sold (Latest)</t>
        </is>
      </c>
      <c r="E18" s="21" t="inlineStr">
        <is>
          <t>Mean Fill Rate</t>
        </is>
      </c>
    </row>
    <row r="19">
      <c r="A19" s="22" t="inlineStr">
        <is>
          <t>Casual</t>
        </is>
      </c>
      <c r="B19" s="22" t="n">
        <v>40</v>
      </c>
      <c r="C19" s="22" t="n">
        <v>4095</v>
      </c>
      <c r="D19" s="22" t="n">
        <v>190</v>
      </c>
      <c r="E19" s="23" t="n">
        <v>0.9608325000000001</v>
      </c>
    </row>
    <row r="20">
      <c r="A20" s="24" t="inlineStr">
        <is>
          <t>GenZ</t>
        </is>
      </c>
      <c r="B20" s="24" t="n">
        <v>44</v>
      </c>
      <c r="C20" s="24" t="n">
        <v>5126</v>
      </c>
      <c r="D20" s="24" t="n">
        <v>199</v>
      </c>
      <c r="E20" s="25" t="n">
        <v>0.9719704545454545</v>
      </c>
    </row>
    <row r="21">
      <c r="A21" s="22" t="inlineStr">
        <is>
          <t>Outdoor</t>
        </is>
      </c>
      <c r="B21" s="22" t="n">
        <v>144</v>
      </c>
      <c r="C21" s="22" t="n">
        <v>49929</v>
      </c>
      <c r="D21" s="22" t="n">
        <v>1797</v>
      </c>
      <c r="E21" s="23" t="n">
        <v>0.9567152777777778</v>
      </c>
    </row>
    <row r="22">
      <c r="A22" s="24" t="inlineStr">
        <is>
          <t>Streetwear</t>
        </is>
      </c>
      <c r="B22" s="24" t="n">
        <v>196</v>
      </c>
      <c r="C22" s="24" t="n">
        <v>45085</v>
      </c>
      <c r="D22" s="24" t="n">
        <v>1379</v>
      </c>
      <c r="E22" s="25" t="n">
        <v>0.9622474489795919</v>
      </c>
    </row>
    <row r="23"/>
    <row r="24"/>
    <row r="25">
      <c r="A25" s="20" t="inlineStr">
        <is>
          <t>Live formulas from workbook</t>
        </is>
      </c>
    </row>
    <row r="26" ht="30" customHeight="1">
      <c r="A26" s="3" t="inlineStr">
        <is>
          <t>Calculated decision</t>
        </is>
      </c>
      <c r="B26" s="3" t="inlineStr">
        <is>
          <t>Formula value</t>
        </is>
      </c>
      <c r="C26" s="3" t="inlineStr">
        <is>
          <t>Interpretation</t>
        </is>
      </c>
    </row>
    <row r="27" ht="30" customHeight="1">
      <c r="A27" s="4" t="inlineStr">
        <is>
          <t>P1 - Data conflict</t>
        </is>
      </c>
      <c r="B27" s="4">
        <f>COUNTIF('Inventory Control'!AB5:AB428,"P1 - DATA CONFLICT")</f>
        <v/>
      </c>
      <c r="C27" s="4" t="inlineStr">
        <is>
          <t>Prioritize verification before ordering</t>
        </is>
      </c>
    </row>
    <row r="28" ht="30" customHeight="1">
      <c r="A28" s="5" t="inlineStr">
        <is>
          <t>P1 - Service</t>
        </is>
      </c>
      <c r="B28" s="5">
        <f>COUNTIF('Inventory Control'!AB5:AB428,"P1 - SERVICE")</f>
        <v/>
      </c>
      <c r="C28" s="5" t="inlineStr">
        <is>
          <t>Stockout / fill rate requires investigation</t>
        </is>
      </c>
    </row>
    <row r="29" ht="30" customHeight="1">
      <c r="A29" s="4" t="inlineStr">
        <is>
          <t>P2 - Overstock</t>
        </is>
      </c>
      <c r="B29" s="4">
        <f>COUNTIF('Inventory Control'!AB5:AB428,"P2 - OVERSTOCK")</f>
        <v/>
      </c>
      <c r="C29" s="4" t="inlineStr">
        <is>
          <t>Stop replenishment and prepare a handling plan</t>
        </is>
      </c>
    </row>
    <row r="30" ht="30" customHeight="1">
      <c r="A30" s="5" t="inlineStr">
        <is>
          <t>P2 - Replenish</t>
        </is>
      </c>
      <c r="B30" s="5">
        <f>COUNTIF('Inventory Control'!AB5:AB428,"P2 - REPLENISH")</f>
        <v/>
      </c>
      <c r="C30" s="5" t="inlineStr">
        <is>
          <t>Propose a PO only after checking inventory position</t>
        </is>
      </c>
    </row>
    <row r="31" ht="30" customHeight="1">
      <c r="A31" s="4" t="inlineStr">
        <is>
          <t>Suggested order units</t>
        </is>
      </c>
      <c r="B31" s="4">
        <f>SUM('Inventory Control'!AA5:AA428)</f>
        <v/>
      </c>
      <c r="C31" s="4" t="inlineStr">
        <is>
          <t>Simulation proposal; excludes actual MOQ / inbound PO / backorder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5" customWidth="1" min="4" max="4"/>
    <col width="12" customWidth="1" min="5" max="5"/>
    <col width="17" customWidth="1" min="6" max="6"/>
    <col width="25" customWidth="1" min="7" max="7"/>
    <col width="16" customWidth="1" min="8" max="8"/>
    <col width="12" customWidth="1" min="9" max="9"/>
    <col width="23" customWidth="1" min="10" max="10"/>
    <col width="34" customWidth="1" min="11" max="11"/>
  </cols>
  <sheetData>
    <row r="1" ht="30" customHeight="1">
      <c r="A1" s="1" t="inlineStr">
        <is>
          <t>Exception Log | First 100 SKUs to Review</t>
        </is>
      </c>
    </row>
    <row r="2" ht="32" customHeight="1">
      <c r="A2" s="2" t="inlineStr">
        <is>
          <t>Static table calculated from the 2022-12-31 snapshot. Filter by Priority; this does not replace verification in WMS/ERP.</t>
        </is>
      </c>
    </row>
    <row r="3"/>
    <row r="4" ht="32" customHeight="1">
      <c r="A4" s="6" t="inlineStr">
        <is>
          <t>Snapshot Date</t>
        </is>
      </c>
      <c r="B4" s="6" t="inlineStr">
        <is>
          <t>Product ID</t>
        </is>
      </c>
      <c r="C4" s="6" t="inlineStr">
        <is>
          <t>Product Name</t>
        </is>
      </c>
      <c r="D4" s="6" t="inlineStr">
        <is>
          <t>Category</t>
        </is>
      </c>
      <c r="E4" s="6" t="inlineStr">
        <is>
          <t>On-hand</t>
        </is>
      </c>
      <c r="F4" s="6" t="inlineStr">
        <is>
          <t>Units Sold Latest</t>
        </is>
      </c>
      <c r="G4" s="6" t="inlineStr">
        <is>
          <t>Avg Monthly Demand (3 snapshots)</t>
        </is>
      </c>
      <c r="H4" s="6" t="inlineStr">
        <is>
          <t>Calculated DOS</t>
        </is>
      </c>
      <c r="I4" s="6" t="inlineStr">
        <is>
          <t>Fill Rate</t>
        </is>
      </c>
      <c r="J4" s="6" t="inlineStr">
        <is>
          <t>Priority</t>
        </is>
      </c>
      <c r="K4" s="6" t="inlineStr">
        <is>
          <t>Review Status</t>
        </is>
      </c>
    </row>
    <row r="5">
      <c r="A5" s="26" t="inlineStr">
        <is>
          <t>2022-12-31</t>
        </is>
      </c>
      <c r="B5" s="26" t="n">
        <v>2212</v>
      </c>
      <c r="C5" s="27" t="inlineStr">
        <is>
          <t>VietMotion RP-09</t>
        </is>
      </c>
      <c r="D5" s="26" t="inlineStr">
        <is>
          <t>Outdoor</t>
        </is>
      </c>
      <c r="E5" s="26" t="n">
        <v>848</v>
      </c>
      <c r="F5" s="26" t="n">
        <v>1</v>
      </c>
      <c r="G5" s="26" t="n">
        <v>1</v>
      </c>
      <c r="H5" s="28" t="n">
        <v>25440</v>
      </c>
      <c r="I5" s="29" t="n">
        <v>0.9333</v>
      </c>
      <c r="J5" s="27" t="inlineStr">
        <is>
          <t>P1 - DATA CONFLICT</t>
        </is>
      </c>
      <c r="K5" s="27" t="inlineStr">
        <is>
          <t>CONFLICT - VERIFY BEFORE PO</t>
        </is>
      </c>
    </row>
    <row r="6">
      <c r="A6" s="26" t="inlineStr">
        <is>
          <t>2022-12-31</t>
        </is>
      </c>
      <c r="B6" s="26" t="n">
        <v>2253</v>
      </c>
      <c r="C6" s="27" t="inlineStr">
        <is>
          <t>VietMotion RP-50</t>
        </is>
      </c>
      <c r="D6" s="26" t="inlineStr">
        <is>
          <t>Outdoor</t>
        </is>
      </c>
      <c r="E6" s="26" t="n">
        <v>639</v>
      </c>
      <c r="F6" s="26" t="n">
        <v>2</v>
      </c>
      <c r="G6" s="26" t="n">
        <v>1.666666666666667</v>
      </c>
      <c r="H6" s="28" t="n">
        <v>11502</v>
      </c>
      <c r="I6" s="29" t="n">
        <v>0.9333</v>
      </c>
      <c r="J6" s="27" t="inlineStr">
        <is>
          <t>P1 - DATA CONFLICT</t>
        </is>
      </c>
      <c r="K6" s="27" t="inlineStr">
        <is>
          <t>CONFLICT - VERIFY BEFORE PO</t>
        </is>
      </c>
    </row>
    <row r="7">
      <c r="A7" s="26" t="inlineStr">
        <is>
          <t>2022-12-31</t>
        </is>
      </c>
      <c r="B7" s="26" t="n">
        <v>927</v>
      </c>
      <c r="C7" s="27" t="inlineStr">
        <is>
          <t>HanoiStreet UE-36</t>
        </is>
      </c>
      <c r="D7" s="26" t="inlineStr">
        <is>
          <t>Streetwear</t>
        </is>
      </c>
      <c r="E7" s="26" t="n">
        <v>1897</v>
      </c>
      <c r="F7" s="26" t="n">
        <v>3</v>
      </c>
      <c r="G7" s="26" t="n">
        <v>9</v>
      </c>
      <c r="H7" s="28" t="n">
        <v>6323.333333333334</v>
      </c>
      <c r="I7" s="29" t="n">
        <v>0.9333</v>
      </c>
      <c r="J7" s="27" t="inlineStr">
        <is>
          <t>P1 - DATA CONFLICT</t>
        </is>
      </c>
      <c r="K7" s="27" t="inlineStr">
        <is>
          <t>CONFLICT - VERIFY BEFORE PO</t>
        </is>
      </c>
    </row>
    <row r="8">
      <c r="A8" s="26" t="inlineStr">
        <is>
          <t>2022-12-31</t>
        </is>
      </c>
      <c r="B8" s="26" t="n">
        <v>2239</v>
      </c>
      <c r="C8" s="27" t="inlineStr">
        <is>
          <t>VietMotion RP-36</t>
        </is>
      </c>
      <c r="D8" s="26" t="inlineStr">
        <is>
          <t>Outdoor</t>
        </is>
      </c>
      <c r="E8" s="26" t="n">
        <v>412</v>
      </c>
      <c r="F8" s="26" t="n">
        <v>4</v>
      </c>
      <c r="G8" s="26" t="n">
        <v>2</v>
      </c>
      <c r="H8" s="28" t="n">
        <v>6180</v>
      </c>
      <c r="I8" s="29" t="n">
        <v>0.9333</v>
      </c>
      <c r="J8" s="27" t="inlineStr">
        <is>
          <t>P1 - DATA CONFLICT</t>
        </is>
      </c>
      <c r="K8" s="27" t="inlineStr">
        <is>
          <t>CONFLICT - VERIFY BEFORE PO</t>
        </is>
      </c>
    </row>
    <row r="9">
      <c r="A9" s="26" t="inlineStr">
        <is>
          <t>2022-12-31</t>
        </is>
      </c>
      <c r="B9" s="26" t="n">
        <v>2384</v>
      </c>
      <c r="C9" s="27" t="inlineStr">
        <is>
          <t>VietMotion UC-32</t>
        </is>
      </c>
      <c r="D9" s="26" t="inlineStr">
        <is>
          <t>Streetwear</t>
        </is>
      </c>
      <c r="E9" s="26" t="n">
        <v>333</v>
      </c>
      <c r="F9" s="26" t="n">
        <v>2</v>
      </c>
      <c r="G9" s="26" t="n">
        <v>1.666666666666667</v>
      </c>
      <c r="H9" s="28" t="n">
        <v>5994</v>
      </c>
      <c r="I9" s="29" t="n">
        <v>0.9333</v>
      </c>
      <c r="J9" s="27" t="inlineStr">
        <is>
          <t>P1 - DATA CONFLICT</t>
        </is>
      </c>
      <c r="K9" s="27" t="inlineStr">
        <is>
          <t>CONFLICT - VERIFY BEFORE PO</t>
        </is>
      </c>
    </row>
    <row r="10">
      <c r="A10" s="26" t="inlineStr">
        <is>
          <t>2022-12-31</t>
        </is>
      </c>
      <c r="B10" s="26" t="n">
        <v>1061</v>
      </c>
      <c r="C10" s="27" t="inlineStr">
        <is>
          <t>MekongFit RP-07</t>
        </is>
      </c>
      <c r="D10" s="26" t="inlineStr">
        <is>
          <t>Outdoor</t>
        </is>
      </c>
      <c r="E10" s="26" t="n">
        <v>383</v>
      </c>
      <c r="F10" s="26" t="n">
        <v>3</v>
      </c>
      <c r="G10" s="26" t="n">
        <v>2.333333333333333</v>
      </c>
      <c r="H10" s="28" t="n">
        <v>4924.285714285714</v>
      </c>
      <c r="I10" s="29" t="n">
        <v>0.9333</v>
      </c>
      <c r="J10" s="27" t="inlineStr">
        <is>
          <t>P1 - DATA CONFLICT</t>
        </is>
      </c>
      <c r="K10" s="27" t="inlineStr">
        <is>
          <t>CONFLICT - VERIFY BEFORE PO</t>
        </is>
      </c>
    </row>
    <row r="11">
      <c r="A11" s="26" t="inlineStr">
        <is>
          <t>2022-12-31</t>
        </is>
      </c>
      <c r="B11" s="26" t="n">
        <v>779</v>
      </c>
      <c r="C11" s="27" t="inlineStr">
        <is>
          <t>HanoiStreet RP-67</t>
        </is>
      </c>
      <c r="D11" s="26" t="inlineStr">
        <is>
          <t>Outdoor</t>
        </is>
      </c>
      <c r="E11" s="26" t="n">
        <v>688</v>
      </c>
      <c r="F11" s="26" t="n">
        <v>5</v>
      </c>
      <c r="G11" s="26" t="n">
        <v>4.333333333333333</v>
      </c>
      <c r="H11" s="28" t="n">
        <v>4763.076923076924</v>
      </c>
      <c r="I11" s="29" t="n">
        <v>0.9333</v>
      </c>
      <c r="J11" s="27" t="inlineStr">
        <is>
          <t>P1 - DATA CONFLICT</t>
        </is>
      </c>
      <c r="K11" s="27" t="inlineStr">
        <is>
          <t>CONFLICT - VERIFY BEFORE PO</t>
        </is>
      </c>
    </row>
    <row r="12">
      <c r="A12" s="26" t="inlineStr">
        <is>
          <t>2022-12-31</t>
        </is>
      </c>
      <c r="B12" s="26" t="n">
        <v>762</v>
      </c>
      <c r="C12" s="27" t="inlineStr">
        <is>
          <t>HanoiStreet RP-50</t>
        </is>
      </c>
      <c r="D12" s="26" t="inlineStr">
        <is>
          <t>Outdoor</t>
        </is>
      </c>
      <c r="E12" s="26" t="n">
        <v>1221</v>
      </c>
      <c r="F12" s="26" t="n">
        <v>13</v>
      </c>
      <c r="G12" s="26" t="n">
        <v>8.333333333333334</v>
      </c>
      <c r="H12" s="28" t="n">
        <v>4395.599999999999</v>
      </c>
      <c r="I12" s="29" t="n">
        <v>0.9333</v>
      </c>
      <c r="J12" s="27" t="inlineStr">
        <is>
          <t>P1 - DATA CONFLICT</t>
        </is>
      </c>
      <c r="K12" s="27" t="inlineStr">
        <is>
          <t>CONFLICT - VERIFY BEFORE PO</t>
        </is>
      </c>
    </row>
    <row r="13">
      <c r="A13" s="26" t="inlineStr">
        <is>
          <t>2022-12-31</t>
        </is>
      </c>
      <c r="B13" s="26" t="n">
        <v>939</v>
      </c>
      <c r="C13" s="27" t="inlineStr">
        <is>
          <t>HanoiStreet UC-02</t>
        </is>
      </c>
      <c r="D13" s="26" t="inlineStr">
        <is>
          <t>Streetwear</t>
        </is>
      </c>
      <c r="E13" s="26" t="n">
        <v>454</v>
      </c>
      <c r="F13" s="26" t="n">
        <v>2</v>
      </c>
      <c r="G13" s="26" t="n">
        <v>3.333333333333333</v>
      </c>
      <c r="H13" s="28" t="n">
        <v>4086</v>
      </c>
      <c r="I13" s="29" t="n">
        <v>0.9333</v>
      </c>
      <c r="J13" s="27" t="inlineStr">
        <is>
          <t>P1 - DATA CONFLICT</t>
        </is>
      </c>
      <c r="K13" s="27" t="inlineStr">
        <is>
          <t>CONFLICT - VERIFY BEFORE PO</t>
        </is>
      </c>
    </row>
    <row r="14">
      <c r="A14" s="26" t="inlineStr">
        <is>
          <t>2022-12-31</t>
        </is>
      </c>
      <c r="B14" s="26" t="n">
        <v>1223</v>
      </c>
      <c r="C14" s="27" t="inlineStr">
        <is>
          <t>MekongFit UC-25</t>
        </is>
      </c>
      <c r="D14" s="26" t="inlineStr">
        <is>
          <t>Streetwear</t>
        </is>
      </c>
      <c r="E14" s="26" t="n">
        <v>450</v>
      </c>
      <c r="F14" s="26" t="n">
        <v>2</v>
      </c>
      <c r="G14" s="26" t="n">
        <v>4.333333333333333</v>
      </c>
      <c r="H14" s="28" t="n">
        <v>3115.384615384616</v>
      </c>
      <c r="I14" s="29" t="n">
        <v>0.9333</v>
      </c>
      <c r="J14" s="27" t="inlineStr">
        <is>
          <t>P1 - DATA CONFLICT</t>
        </is>
      </c>
      <c r="K14" s="27" t="inlineStr">
        <is>
          <t>CONFLICT - VERIFY BEFORE PO</t>
        </is>
      </c>
    </row>
    <row r="15">
      <c r="A15" s="26" t="inlineStr">
        <is>
          <t>2022-12-31</t>
        </is>
      </c>
      <c r="B15" s="26" t="n">
        <v>2402</v>
      </c>
      <c r="C15" s="27" t="inlineStr">
        <is>
          <t>VietMotion YY-11</t>
        </is>
      </c>
      <c r="D15" s="26" t="inlineStr">
        <is>
          <t>GenZ</t>
        </is>
      </c>
      <c r="E15" s="26" t="n">
        <v>172</v>
      </c>
      <c r="F15" s="26" t="n">
        <v>1</v>
      </c>
      <c r="G15" s="26" t="n">
        <v>1.666666666666667</v>
      </c>
      <c r="H15" s="28" t="n">
        <v>3096</v>
      </c>
      <c r="I15" s="29" t="n">
        <v>0.9333</v>
      </c>
      <c r="J15" s="27" t="inlineStr">
        <is>
          <t>P1 - DATA CONFLICT</t>
        </is>
      </c>
      <c r="K15" s="27" t="inlineStr">
        <is>
          <t>CONFLICT - VERIFY BEFORE PO</t>
        </is>
      </c>
    </row>
    <row r="16">
      <c r="A16" s="26" t="inlineStr">
        <is>
          <t>2022-12-31</t>
        </is>
      </c>
      <c r="B16" s="26" t="n">
        <v>2331</v>
      </c>
      <c r="C16" s="27" t="inlineStr">
        <is>
          <t>VietMotion UE-05</t>
        </is>
      </c>
      <c r="D16" s="26" t="inlineStr">
        <is>
          <t>Streetwear</t>
        </is>
      </c>
      <c r="E16" s="26" t="n">
        <v>1489</v>
      </c>
      <c r="F16" s="26" t="n">
        <v>10</v>
      </c>
      <c r="G16" s="26" t="n">
        <v>14.66666666666667</v>
      </c>
      <c r="H16" s="28" t="n">
        <v>3045.681818181818</v>
      </c>
      <c r="I16" s="29" t="n">
        <v>0.9333</v>
      </c>
      <c r="J16" s="27" t="inlineStr">
        <is>
          <t>P1 - DATA CONFLICT</t>
        </is>
      </c>
      <c r="K16" s="27" t="inlineStr">
        <is>
          <t>CONFLICT - VERIFY BEFORE PO</t>
        </is>
      </c>
    </row>
    <row r="17">
      <c r="A17" s="26" t="inlineStr">
        <is>
          <t>2022-12-31</t>
        </is>
      </c>
      <c r="B17" s="26" t="n">
        <v>2277</v>
      </c>
      <c r="C17" s="27" t="inlineStr">
        <is>
          <t>VietMotion RS-10</t>
        </is>
      </c>
      <c r="D17" s="26" t="inlineStr">
        <is>
          <t>Outdoor</t>
        </is>
      </c>
      <c r="E17" s="26" t="n">
        <v>402</v>
      </c>
      <c r="F17" s="26" t="n">
        <v>8</v>
      </c>
      <c r="G17" s="26" t="n">
        <v>4</v>
      </c>
      <c r="H17" s="28" t="n">
        <v>3015</v>
      </c>
      <c r="I17" s="29" t="n">
        <v>0.9333</v>
      </c>
      <c r="J17" s="27" t="inlineStr">
        <is>
          <t>P1 - DATA CONFLICT</t>
        </is>
      </c>
      <c r="K17" s="27" t="inlineStr">
        <is>
          <t>CONFLICT - VERIFY BEFORE PO</t>
        </is>
      </c>
    </row>
    <row r="18">
      <c r="A18" s="26" t="inlineStr">
        <is>
          <t>2022-12-31</t>
        </is>
      </c>
      <c r="B18" s="26" t="n">
        <v>2332</v>
      </c>
      <c r="C18" s="27" t="inlineStr">
        <is>
          <t>VietMotion UE-06</t>
        </is>
      </c>
      <c r="D18" s="26" t="inlineStr">
        <is>
          <t>Streetwear</t>
        </is>
      </c>
      <c r="E18" s="26" t="n">
        <v>1939</v>
      </c>
      <c r="F18" s="26" t="n">
        <v>19</v>
      </c>
      <c r="G18" s="26" t="n">
        <v>19.33333333333333</v>
      </c>
      <c r="H18" s="28" t="n">
        <v>3008.793103448276</v>
      </c>
      <c r="I18" s="29" t="n">
        <v>0.9333</v>
      </c>
      <c r="J18" s="27" t="inlineStr">
        <is>
          <t>P1 - DATA CONFLICT</t>
        </is>
      </c>
      <c r="K18" s="27" t="inlineStr">
        <is>
          <t>CONFLICT - VERIFY BEFORE PO</t>
        </is>
      </c>
    </row>
    <row r="19">
      <c r="A19" s="26" t="inlineStr">
        <is>
          <t>2022-12-31</t>
        </is>
      </c>
      <c r="B19" s="26" t="n">
        <v>1129</v>
      </c>
      <c r="C19" s="27" t="inlineStr">
        <is>
          <t>MekongFit UM-06</t>
        </is>
      </c>
      <c r="D19" s="26" t="inlineStr">
        <is>
          <t>Streetwear</t>
        </is>
      </c>
      <c r="E19" s="26" t="n">
        <v>431</v>
      </c>
      <c r="F19" s="26" t="n">
        <v>1</v>
      </c>
      <c r="G19" s="26" t="n">
        <v>4.333333333333333</v>
      </c>
      <c r="H19" s="28" t="n">
        <v>2983.846153846154</v>
      </c>
      <c r="I19" s="29" t="n">
        <v>0.9333</v>
      </c>
      <c r="J19" s="27" t="inlineStr">
        <is>
          <t>P1 - DATA CONFLICT</t>
        </is>
      </c>
      <c r="K19" s="27" t="inlineStr">
        <is>
          <t>CONFLICT - VERIFY BEFORE PO</t>
        </is>
      </c>
    </row>
    <row r="20">
      <c r="A20" s="26" t="inlineStr">
        <is>
          <t>2022-12-31</t>
        </is>
      </c>
      <c r="B20" s="26" t="n">
        <v>2391</v>
      </c>
      <c r="C20" s="27" t="inlineStr">
        <is>
          <t>VietMotion UC-39</t>
        </is>
      </c>
      <c r="D20" s="26" t="inlineStr">
        <is>
          <t>Streetwear</t>
        </is>
      </c>
      <c r="E20" s="26" t="n">
        <v>130</v>
      </c>
      <c r="F20" s="26" t="n">
        <v>1</v>
      </c>
      <c r="G20" s="26" t="n">
        <v>1.333333333333333</v>
      </c>
      <c r="H20" s="28" t="n">
        <v>2925</v>
      </c>
      <c r="I20" s="29" t="n">
        <v>0.9333</v>
      </c>
      <c r="J20" s="27" t="inlineStr">
        <is>
          <t>P1 - DATA CONFLICT</t>
        </is>
      </c>
      <c r="K20" s="27" t="inlineStr">
        <is>
          <t>CONFLICT - VERIFY BEFORE PO</t>
        </is>
      </c>
    </row>
    <row r="21">
      <c r="A21" s="26" t="inlineStr">
        <is>
          <t>2022-12-31</t>
        </is>
      </c>
      <c r="B21" s="26" t="n">
        <v>342</v>
      </c>
      <c r="C21" s="27" t="inlineStr">
        <is>
          <t>LotusWear UE-63</t>
        </is>
      </c>
      <c r="D21" s="26" t="inlineStr">
        <is>
          <t>Streetwear</t>
        </is>
      </c>
      <c r="E21" s="26" t="n">
        <v>84</v>
      </c>
      <c r="F21" s="26" t="n">
        <v>1</v>
      </c>
      <c r="G21" s="26" t="n">
        <v>1</v>
      </c>
      <c r="H21" s="28" t="n">
        <v>2520</v>
      </c>
      <c r="I21" s="29" t="n">
        <v>0.9333</v>
      </c>
      <c r="J21" s="27" t="inlineStr">
        <is>
          <t>P1 - DATA CONFLICT</t>
        </is>
      </c>
      <c r="K21" s="27" t="inlineStr">
        <is>
          <t>CONFLICT - VERIFY BEFORE PO</t>
        </is>
      </c>
    </row>
    <row r="22">
      <c r="A22" s="26" t="inlineStr">
        <is>
          <t>2022-12-31</t>
        </is>
      </c>
      <c r="B22" s="26" t="n">
        <v>1077</v>
      </c>
      <c r="C22" s="27" t="inlineStr">
        <is>
          <t>MekongFit RP-23</t>
        </is>
      </c>
      <c r="D22" s="26" t="inlineStr">
        <is>
          <t>Outdoor</t>
        </is>
      </c>
      <c r="E22" s="26" t="n">
        <v>194</v>
      </c>
      <c r="F22" s="26" t="n">
        <v>1</v>
      </c>
      <c r="G22" s="26" t="n">
        <v>2.333333333333333</v>
      </c>
      <c r="H22" s="28" t="n">
        <v>2494.285714285714</v>
      </c>
      <c r="I22" s="29" t="n">
        <v>0.9333</v>
      </c>
      <c r="J22" s="27" t="inlineStr">
        <is>
          <t>P1 - DATA CONFLICT</t>
        </is>
      </c>
      <c r="K22" s="27" t="inlineStr">
        <is>
          <t>CONFLICT - VERIFY BEFORE PO</t>
        </is>
      </c>
    </row>
    <row r="23">
      <c r="A23" s="26" t="inlineStr">
        <is>
          <t>2022-12-31</t>
        </is>
      </c>
      <c r="B23" s="26" t="n">
        <v>1517</v>
      </c>
      <c r="C23" s="27" t="inlineStr">
        <is>
          <t>VietMode RP-09</t>
        </is>
      </c>
      <c r="D23" s="26" t="inlineStr">
        <is>
          <t>Outdoor</t>
        </is>
      </c>
      <c r="E23" s="26" t="n">
        <v>190</v>
      </c>
      <c r="F23" s="26" t="n">
        <v>1</v>
      </c>
      <c r="G23" s="26" t="n">
        <v>2.333333333333333</v>
      </c>
      <c r="H23" s="28" t="n">
        <v>2442.857142857143</v>
      </c>
      <c r="I23" s="29" t="n">
        <v>0.9333</v>
      </c>
      <c r="J23" s="27" t="inlineStr">
        <is>
          <t>P1 - DATA CONFLICT</t>
        </is>
      </c>
      <c r="K23" s="27" t="inlineStr">
        <is>
          <t>CONFLICT - VERIFY BEFORE PO</t>
        </is>
      </c>
    </row>
    <row r="24">
      <c r="A24" s="26" t="inlineStr">
        <is>
          <t>2022-12-31</t>
        </is>
      </c>
      <c r="B24" s="26" t="n">
        <v>8</v>
      </c>
      <c r="C24" s="27" t="inlineStr">
        <is>
          <t>DragonWear MA-08</t>
        </is>
      </c>
      <c r="D24" s="26" t="inlineStr">
        <is>
          <t>Casual</t>
        </is>
      </c>
      <c r="E24" s="26" t="n">
        <v>101</v>
      </c>
      <c r="F24" s="26" t="n">
        <v>1</v>
      </c>
      <c r="G24" s="26" t="n">
        <v>1.333333333333333</v>
      </c>
      <c r="H24" s="28" t="n">
        <v>2272.5</v>
      </c>
      <c r="I24" s="29" t="n">
        <v>0.9333</v>
      </c>
      <c r="J24" s="27" t="inlineStr">
        <is>
          <t>P1 - DATA CONFLICT</t>
        </is>
      </c>
      <c r="K24" s="27" t="inlineStr">
        <is>
          <t>CONFLICT - VERIFY BEFORE PO</t>
        </is>
      </c>
    </row>
    <row r="25">
      <c r="A25" s="26" t="inlineStr">
        <is>
          <t>2022-12-31</t>
        </is>
      </c>
      <c r="B25" s="26" t="n">
        <v>2150</v>
      </c>
      <c r="C25" s="27" t="inlineStr">
        <is>
          <t>PhoenixWear UE-03</t>
        </is>
      </c>
      <c r="D25" s="26" t="inlineStr">
        <is>
          <t>Streetwear</t>
        </is>
      </c>
      <c r="E25" s="26" t="n">
        <v>96</v>
      </c>
      <c r="F25" s="26" t="n">
        <v>1</v>
      </c>
      <c r="G25" s="26" t="n">
        <v>1.333333333333333</v>
      </c>
      <c r="H25" s="28" t="n">
        <v>2160</v>
      </c>
      <c r="I25" s="29" t="n">
        <v>0.9333</v>
      </c>
      <c r="J25" s="27" t="inlineStr">
        <is>
          <t>P1 - DATA CONFLICT</t>
        </is>
      </c>
      <c r="K25" s="27" t="inlineStr">
        <is>
          <t>CONFLICT - VERIFY BEFORE PO</t>
        </is>
      </c>
    </row>
    <row r="26">
      <c r="A26" s="26" t="inlineStr">
        <is>
          <t>2022-12-31</t>
        </is>
      </c>
      <c r="B26" s="26" t="n">
        <v>2236</v>
      </c>
      <c r="C26" s="27" t="inlineStr">
        <is>
          <t>VietMotion RP-33</t>
        </is>
      </c>
      <c r="D26" s="26" t="inlineStr">
        <is>
          <t>Outdoor</t>
        </is>
      </c>
      <c r="E26" s="26" t="n">
        <v>477</v>
      </c>
      <c r="F26" s="26" t="n">
        <v>17</v>
      </c>
      <c r="G26" s="26" t="n">
        <v>8</v>
      </c>
      <c r="H26" s="28" t="n">
        <v>1788.75</v>
      </c>
      <c r="I26" s="29" t="n">
        <v>0.9333</v>
      </c>
      <c r="J26" s="27" t="inlineStr">
        <is>
          <t>P1 - DATA CONFLICT</t>
        </is>
      </c>
      <c r="K26" s="27" t="inlineStr">
        <is>
          <t>CONFLICT - VERIFY BEFORE PO</t>
        </is>
      </c>
    </row>
    <row r="27">
      <c r="A27" s="26" t="inlineStr">
        <is>
          <t>2022-12-31</t>
        </is>
      </c>
      <c r="B27" s="26" t="n">
        <v>2365</v>
      </c>
      <c r="C27" s="27" t="inlineStr">
        <is>
          <t>VietMotion UC-13</t>
        </is>
      </c>
      <c r="D27" s="26" t="inlineStr">
        <is>
          <t>Streetwear</t>
        </is>
      </c>
      <c r="E27" s="26" t="n">
        <v>215</v>
      </c>
      <c r="F27" s="26" t="n">
        <v>7</v>
      </c>
      <c r="G27" s="26" t="n">
        <v>3.666666666666667</v>
      </c>
      <c r="H27" s="28" t="n">
        <v>1759.090909090909</v>
      </c>
      <c r="I27" s="29" t="n">
        <v>0.9333</v>
      </c>
      <c r="J27" s="27" t="inlineStr">
        <is>
          <t>P1 - DATA CONFLICT</t>
        </is>
      </c>
      <c r="K27" s="27" t="inlineStr">
        <is>
          <t>CONFLICT - VERIFY BEFORE PO</t>
        </is>
      </c>
    </row>
    <row r="28">
      <c r="A28" s="26" t="inlineStr">
        <is>
          <t>2022-12-31</t>
        </is>
      </c>
      <c r="B28" s="26" t="n">
        <v>1009</v>
      </c>
      <c r="C28" s="27" t="inlineStr">
        <is>
          <t>HanoiStreet YY-10</t>
        </is>
      </c>
      <c r="D28" s="26" t="inlineStr">
        <is>
          <t>GenZ</t>
        </is>
      </c>
      <c r="E28" s="26" t="n">
        <v>865</v>
      </c>
      <c r="F28" s="26" t="n">
        <v>15</v>
      </c>
      <c r="G28" s="26" t="n">
        <v>17.33333333333333</v>
      </c>
      <c r="H28" s="28" t="n">
        <v>1497.115384615385</v>
      </c>
      <c r="I28" s="29" t="n">
        <v>0.9333</v>
      </c>
      <c r="J28" s="27" t="inlineStr">
        <is>
          <t>P1 - DATA CONFLICT</t>
        </is>
      </c>
      <c r="K28" s="27" t="inlineStr">
        <is>
          <t>CONFLICT - VERIFY BEFORE PO</t>
        </is>
      </c>
    </row>
    <row r="29">
      <c r="A29" s="26" t="inlineStr">
        <is>
          <t>2022-12-31</t>
        </is>
      </c>
      <c r="B29" s="26" t="n">
        <v>1391</v>
      </c>
      <c r="C29" s="27" t="inlineStr">
        <is>
          <t>VietMode RP-83</t>
        </is>
      </c>
      <c r="D29" s="26" t="inlineStr">
        <is>
          <t>Outdoor</t>
        </is>
      </c>
      <c r="E29" s="26" t="n">
        <v>129</v>
      </c>
      <c r="F29" s="26" t="n">
        <v>3</v>
      </c>
      <c r="G29" s="26" t="n">
        <v>2.666666666666667</v>
      </c>
      <c r="H29" s="28" t="n">
        <v>1451.25</v>
      </c>
      <c r="I29" s="29" t="n">
        <v>0.9333</v>
      </c>
      <c r="J29" s="27" t="inlineStr">
        <is>
          <t>P1 - DATA CONFLICT</t>
        </is>
      </c>
      <c r="K29" s="27" t="inlineStr">
        <is>
          <t>CONFLICT - VERIFY BEFORE PO</t>
        </is>
      </c>
    </row>
    <row r="30">
      <c r="A30" s="26" t="inlineStr">
        <is>
          <t>2022-12-31</t>
        </is>
      </c>
      <c r="B30" s="26" t="n">
        <v>2218</v>
      </c>
      <c r="C30" s="27" t="inlineStr">
        <is>
          <t>VietMotion RP-15</t>
        </is>
      </c>
      <c r="D30" s="26" t="inlineStr">
        <is>
          <t>Outdoor</t>
        </is>
      </c>
      <c r="E30" s="26" t="n">
        <v>827</v>
      </c>
      <c r="F30" s="26" t="n">
        <v>30</v>
      </c>
      <c r="G30" s="26" t="n">
        <v>17.66666666666667</v>
      </c>
      <c r="H30" s="28" t="n">
        <v>1404.339622641509</v>
      </c>
      <c r="I30" s="29" t="n">
        <v>0.9333</v>
      </c>
      <c r="J30" s="27" t="inlineStr">
        <is>
          <t>P1 - DATA CONFLICT</t>
        </is>
      </c>
      <c r="K30" s="27" t="inlineStr">
        <is>
          <t>CONFLICT - VERIFY BEFORE PO</t>
        </is>
      </c>
    </row>
    <row r="31">
      <c r="A31" s="26" t="inlineStr">
        <is>
          <t>2022-12-31</t>
        </is>
      </c>
      <c r="B31" s="26" t="n">
        <v>2219</v>
      </c>
      <c r="C31" s="27" t="inlineStr">
        <is>
          <t>VietMotion RP-16</t>
        </is>
      </c>
      <c r="D31" s="26" t="inlineStr">
        <is>
          <t>Outdoor</t>
        </is>
      </c>
      <c r="E31" s="26" t="n">
        <v>824</v>
      </c>
      <c r="F31" s="26" t="n">
        <v>30</v>
      </c>
      <c r="G31" s="26" t="n">
        <v>17.66666666666667</v>
      </c>
      <c r="H31" s="28" t="n">
        <v>1399.245283018868</v>
      </c>
      <c r="I31" s="29" t="n">
        <v>0.9333</v>
      </c>
      <c r="J31" s="27" t="inlineStr">
        <is>
          <t>P1 - DATA CONFLICT</t>
        </is>
      </c>
      <c r="K31" s="27" t="inlineStr">
        <is>
          <t>CONFLICT - VERIFY BEFORE PO</t>
        </is>
      </c>
    </row>
    <row r="32">
      <c r="A32" s="26" t="inlineStr">
        <is>
          <t>2022-12-31</t>
        </is>
      </c>
      <c r="B32" s="26" t="n">
        <v>1532</v>
      </c>
      <c r="C32" s="27" t="inlineStr">
        <is>
          <t>VietMode RP-24</t>
        </is>
      </c>
      <c r="D32" s="26" t="inlineStr">
        <is>
          <t>Outdoor</t>
        </is>
      </c>
      <c r="E32" s="26" t="n">
        <v>107</v>
      </c>
      <c r="F32" s="26" t="n">
        <v>3</v>
      </c>
      <c r="G32" s="26" t="n">
        <v>2.333333333333333</v>
      </c>
      <c r="H32" s="28" t="n">
        <v>1375.714285714286</v>
      </c>
      <c r="I32" s="29" t="n">
        <v>0.9333</v>
      </c>
      <c r="J32" s="27" t="inlineStr">
        <is>
          <t>P1 - DATA CONFLICT</t>
        </is>
      </c>
      <c r="K32" s="27" t="inlineStr">
        <is>
          <t>CONFLICT - VERIFY BEFORE PO</t>
        </is>
      </c>
    </row>
    <row r="33">
      <c r="A33" s="26" t="inlineStr">
        <is>
          <t>2022-12-31</t>
        </is>
      </c>
      <c r="B33" s="26" t="n">
        <v>1085</v>
      </c>
      <c r="C33" s="27" t="inlineStr">
        <is>
          <t>MekongFit RP-31</t>
        </is>
      </c>
      <c r="D33" s="26" t="inlineStr">
        <is>
          <t>Outdoor</t>
        </is>
      </c>
      <c r="E33" s="26" t="n">
        <v>1390</v>
      </c>
      <c r="F33" s="26" t="n">
        <v>62</v>
      </c>
      <c r="G33" s="26" t="n">
        <v>30.33333333333333</v>
      </c>
      <c r="H33" s="28" t="n">
        <v>1374.725274725275</v>
      </c>
      <c r="I33" s="29" t="n">
        <v>0.9333</v>
      </c>
      <c r="J33" s="27" t="inlineStr">
        <is>
          <t>P1 - DATA CONFLICT</t>
        </is>
      </c>
      <c r="K33" s="27" t="inlineStr">
        <is>
          <t>CONFLICT - VERIFY BEFORE PO</t>
        </is>
      </c>
    </row>
    <row r="34">
      <c r="A34" s="26" t="inlineStr">
        <is>
          <t>2022-12-31</t>
        </is>
      </c>
      <c r="B34" s="26" t="n">
        <v>2284</v>
      </c>
      <c r="C34" s="27" t="inlineStr">
        <is>
          <t>VietMotion RS-17</t>
        </is>
      </c>
      <c r="D34" s="26" t="inlineStr">
        <is>
          <t>Outdoor</t>
        </is>
      </c>
      <c r="E34" s="26" t="n">
        <v>419</v>
      </c>
      <c r="F34" s="26" t="n">
        <v>11</v>
      </c>
      <c r="G34" s="26" t="n">
        <v>9.333333333333334</v>
      </c>
      <c r="H34" s="28" t="n">
        <v>1346.785714285714</v>
      </c>
      <c r="I34" s="29" t="n">
        <v>0.9333</v>
      </c>
      <c r="J34" s="27" t="inlineStr">
        <is>
          <t>P1 - DATA CONFLICT</t>
        </is>
      </c>
      <c r="K34" s="27" t="inlineStr">
        <is>
          <t>CONFLICT - VERIFY BEFORE PO</t>
        </is>
      </c>
    </row>
    <row r="35">
      <c r="A35" s="26" t="inlineStr">
        <is>
          <t>2022-12-31</t>
        </is>
      </c>
      <c r="B35" s="26" t="n">
        <v>2214</v>
      </c>
      <c r="C35" s="27" t="inlineStr">
        <is>
          <t>VietMotion RP-11</t>
        </is>
      </c>
      <c r="D35" s="26" t="inlineStr">
        <is>
          <t>Outdoor</t>
        </is>
      </c>
      <c r="E35" s="26" t="n">
        <v>446</v>
      </c>
      <c r="F35" s="26" t="n">
        <v>12</v>
      </c>
      <c r="G35" s="26" t="n">
        <v>10.66666666666667</v>
      </c>
      <c r="H35" s="28" t="n">
        <v>1254.375</v>
      </c>
      <c r="I35" s="29" t="n">
        <v>0.9333</v>
      </c>
      <c r="J35" s="27" t="inlineStr">
        <is>
          <t>P1 - DATA CONFLICT</t>
        </is>
      </c>
      <c r="K35" s="27" t="inlineStr">
        <is>
          <t>CONFLICT - VERIFY BEFORE PO</t>
        </is>
      </c>
    </row>
    <row r="36">
      <c r="A36" s="26" t="inlineStr">
        <is>
          <t>2022-12-31</t>
        </is>
      </c>
      <c r="B36" s="26" t="n">
        <v>1113</v>
      </c>
      <c r="C36" s="27" t="inlineStr">
        <is>
          <t>MekongFit RS-01</t>
        </is>
      </c>
      <c r="D36" s="26" t="inlineStr">
        <is>
          <t>Outdoor</t>
        </is>
      </c>
      <c r="E36" s="26" t="n">
        <v>69</v>
      </c>
      <c r="F36" s="26" t="n">
        <v>2</v>
      </c>
      <c r="G36" s="26" t="n">
        <v>1.666666666666667</v>
      </c>
      <c r="H36" s="28" t="n">
        <v>1242</v>
      </c>
      <c r="I36" s="29" t="n">
        <v>0.9333</v>
      </c>
      <c r="J36" s="27" t="inlineStr">
        <is>
          <t>P1 - DATA CONFLICT</t>
        </is>
      </c>
      <c r="K36" s="27" t="inlineStr">
        <is>
          <t>CONFLICT - VERIFY BEFORE PO</t>
        </is>
      </c>
    </row>
    <row r="37">
      <c r="A37" s="26" t="inlineStr">
        <is>
          <t>2022-12-31</t>
        </is>
      </c>
      <c r="B37" s="26" t="n">
        <v>781</v>
      </c>
      <c r="C37" s="27" t="inlineStr">
        <is>
          <t>HanoiStreet RP-69</t>
        </is>
      </c>
      <c r="D37" s="26" t="inlineStr">
        <is>
          <t>Outdoor</t>
        </is>
      </c>
      <c r="E37" s="26" t="n">
        <v>743</v>
      </c>
      <c r="F37" s="26" t="n">
        <v>35</v>
      </c>
      <c r="G37" s="26" t="n">
        <v>18</v>
      </c>
      <c r="H37" s="28" t="n">
        <v>1238.333333333333</v>
      </c>
      <c r="I37" s="29" t="n">
        <v>0.9333</v>
      </c>
      <c r="J37" s="27" t="inlineStr">
        <is>
          <t>P1 - DATA CONFLICT</t>
        </is>
      </c>
      <c r="K37" s="27" t="inlineStr">
        <is>
          <t>CONFLICT - VERIFY BEFORE PO</t>
        </is>
      </c>
    </row>
    <row r="38">
      <c r="A38" s="26" t="inlineStr">
        <is>
          <t>2022-12-31</t>
        </is>
      </c>
      <c r="B38" s="26" t="n">
        <v>107</v>
      </c>
      <c r="C38" s="27" t="inlineStr">
        <is>
          <t>DragonWear UM-34</t>
        </is>
      </c>
      <c r="D38" s="26" t="inlineStr">
        <is>
          <t>Streetwear</t>
        </is>
      </c>
      <c r="E38" s="26" t="n">
        <v>53</v>
      </c>
      <c r="F38" s="26" t="n">
        <v>1</v>
      </c>
      <c r="G38" s="26" t="n">
        <v>1.333333333333333</v>
      </c>
      <c r="H38" s="28" t="n">
        <v>1192.5</v>
      </c>
      <c r="I38" s="29" t="n">
        <v>0.9333</v>
      </c>
      <c r="J38" s="27" t="inlineStr">
        <is>
          <t>P1 - DATA CONFLICT</t>
        </is>
      </c>
      <c r="K38" s="27" t="inlineStr">
        <is>
          <t>CONFLICT - VERIFY BEFORE PO</t>
        </is>
      </c>
    </row>
    <row r="39">
      <c r="A39" s="26" t="inlineStr">
        <is>
          <t>2022-12-31</t>
        </is>
      </c>
      <c r="B39" s="26" t="n">
        <v>839</v>
      </c>
      <c r="C39" s="27" t="inlineStr">
        <is>
          <t>HanoiStreet UM-23</t>
        </is>
      </c>
      <c r="D39" s="26" t="inlineStr">
        <is>
          <t>Streetwear</t>
        </is>
      </c>
      <c r="E39" s="26" t="n">
        <v>53</v>
      </c>
      <c r="F39" s="26" t="n">
        <v>1</v>
      </c>
      <c r="G39" s="26" t="n">
        <v>1.333333333333333</v>
      </c>
      <c r="H39" s="28" t="n">
        <v>1192.5</v>
      </c>
      <c r="I39" s="29" t="n">
        <v>0.9333</v>
      </c>
      <c r="J39" s="27" t="inlineStr">
        <is>
          <t>P1 - DATA CONFLICT</t>
        </is>
      </c>
      <c r="K39" s="27" t="inlineStr">
        <is>
          <t>CONFLICT - VERIFY BEFORE PO</t>
        </is>
      </c>
    </row>
    <row r="40">
      <c r="A40" s="26" t="inlineStr">
        <is>
          <t>2022-12-31</t>
        </is>
      </c>
      <c r="B40" s="26" t="n">
        <v>1171</v>
      </c>
      <c r="C40" s="27" t="inlineStr">
        <is>
          <t>MekongFit UE-07</t>
        </is>
      </c>
      <c r="D40" s="26" t="inlineStr">
        <is>
          <t>Streetwear</t>
        </is>
      </c>
      <c r="E40" s="26" t="n">
        <v>543</v>
      </c>
      <c r="F40" s="26" t="n">
        <v>10</v>
      </c>
      <c r="G40" s="26" t="n">
        <v>14</v>
      </c>
      <c r="H40" s="28" t="n">
        <v>1163.571428571428</v>
      </c>
      <c r="I40" s="29" t="n">
        <v>0.9333</v>
      </c>
      <c r="J40" s="27" t="inlineStr">
        <is>
          <t>P1 - DATA CONFLICT</t>
        </is>
      </c>
      <c r="K40" s="27" t="inlineStr">
        <is>
          <t>CONFLICT - VERIFY BEFORE PO</t>
        </is>
      </c>
    </row>
    <row r="41">
      <c r="A41" s="26" t="inlineStr">
        <is>
          <t>2022-12-31</t>
        </is>
      </c>
      <c r="B41" s="26" t="n">
        <v>1852</v>
      </c>
      <c r="C41" s="27" t="inlineStr">
        <is>
          <t>SaigonCore YY-47</t>
        </is>
      </c>
      <c r="D41" s="26" t="inlineStr">
        <is>
          <t>GenZ</t>
        </is>
      </c>
      <c r="E41" s="26" t="n">
        <v>121</v>
      </c>
      <c r="F41" s="26" t="n">
        <v>6</v>
      </c>
      <c r="G41" s="26" t="n">
        <v>3.666666666666667</v>
      </c>
      <c r="H41" s="28" t="n">
        <v>990</v>
      </c>
      <c r="I41" s="29" t="n">
        <v>0.9333</v>
      </c>
      <c r="J41" s="27" t="inlineStr">
        <is>
          <t>P1 - DATA CONFLICT</t>
        </is>
      </c>
      <c r="K41" s="27" t="inlineStr">
        <is>
          <t>CONFLICT - VERIFY BEFORE PO</t>
        </is>
      </c>
    </row>
    <row r="42">
      <c r="A42" s="26" t="inlineStr">
        <is>
          <t>2022-12-31</t>
        </is>
      </c>
      <c r="B42" s="26" t="n">
        <v>1049</v>
      </c>
      <c r="C42" s="27" t="inlineStr">
        <is>
          <t>MekongFit MA-07</t>
        </is>
      </c>
      <c r="D42" s="26" t="inlineStr">
        <is>
          <t>Casual</t>
        </is>
      </c>
      <c r="E42" s="26" t="n">
        <v>116</v>
      </c>
      <c r="F42" s="26" t="n">
        <v>5</v>
      </c>
      <c r="G42" s="26" t="n">
        <v>4</v>
      </c>
      <c r="H42" s="28" t="n">
        <v>870</v>
      </c>
      <c r="I42" s="29" t="n">
        <v>0.9333</v>
      </c>
      <c r="J42" s="27" t="inlineStr">
        <is>
          <t>P1 - DATA CONFLICT</t>
        </is>
      </c>
      <c r="K42" s="27" t="inlineStr">
        <is>
          <t>CONFLICT - VERIFY BEFORE PO</t>
        </is>
      </c>
    </row>
    <row r="43">
      <c r="A43" s="26" t="inlineStr">
        <is>
          <t>2022-12-31</t>
        </is>
      </c>
      <c r="B43" s="26" t="n">
        <v>26</v>
      </c>
      <c r="C43" s="27" t="inlineStr">
        <is>
          <t>DragonWear MA-26</t>
        </is>
      </c>
      <c r="D43" s="26" t="inlineStr">
        <is>
          <t>Casual</t>
        </is>
      </c>
      <c r="E43" s="26" t="n">
        <v>240</v>
      </c>
      <c r="F43" s="26" t="n">
        <v>10</v>
      </c>
      <c r="G43" s="26" t="n">
        <v>9</v>
      </c>
      <c r="H43" s="28" t="n">
        <v>800</v>
      </c>
      <c r="I43" s="29" t="n">
        <v>0.9333</v>
      </c>
      <c r="J43" s="27" t="inlineStr">
        <is>
          <t>P1 - DATA CONFLICT</t>
        </is>
      </c>
      <c r="K43" s="27" t="inlineStr">
        <is>
          <t>CONFLICT - VERIFY BEFORE PO</t>
        </is>
      </c>
    </row>
    <row r="44">
      <c r="A44" s="26" t="inlineStr">
        <is>
          <t>2022-12-31</t>
        </is>
      </c>
      <c r="B44" s="26" t="n">
        <v>1915</v>
      </c>
      <c r="C44" s="27" t="inlineStr">
        <is>
          <t>UrbanVN MA-08</t>
        </is>
      </c>
      <c r="D44" s="26" t="inlineStr">
        <is>
          <t>Casual</t>
        </is>
      </c>
      <c r="E44" s="26" t="n">
        <v>148</v>
      </c>
      <c r="F44" s="26" t="n">
        <v>7</v>
      </c>
      <c r="G44" s="26" t="n">
        <v>5.666666666666667</v>
      </c>
      <c r="H44" s="28" t="n">
        <v>783.5294117647057</v>
      </c>
      <c r="I44" s="29" t="n">
        <v>0.9333</v>
      </c>
      <c r="J44" s="27" t="inlineStr">
        <is>
          <t>P1 - DATA CONFLICT</t>
        </is>
      </c>
      <c r="K44" s="27" t="inlineStr">
        <is>
          <t>CONFLICT - VERIFY BEFORE PO</t>
        </is>
      </c>
    </row>
    <row r="45">
      <c r="A45" s="26" t="inlineStr">
        <is>
          <t>2022-12-31</t>
        </is>
      </c>
      <c r="B45" s="26" t="n">
        <v>1520</v>
      </c>
      <c r="C45" s="27" t="inlineStr">
        <is>
          <t>VietMode RP-12</t>
        </is>
      </c>
      <c r="D45" s="26" t="inlineStr">
        <is>
          <t>Outdoor</t>
        </is>
      </c>
      <c r="E45" s="26" t="n">
        <v>34</v>
      </c>
      <c r="F45" s="26" t="n">
        <v>1</v>
      </c>
      <c r="G45" s="26" t="n">
        <v>1.333333333333333</v>
      </c>
      <c r="H45" s="28" t="n">
        <v>765.0000000000001</v>
      </c>
      <c r="I45" s="29" t="n">
        <v>0.9333</v>
      </c>
      <c r="J45" s="27" t="inlineStr">
        <is>
          <t>P1 - DATA CONFLICT</t>
        </is>
      </c>
      <c r="K45" s="27" t="inlineStr">
        <is>
          <t>CONFLICT - VERIFY BEFORE PO</t>
        </is>
      </c>
    </row>
    <row r="46">
      <c r="A46" s="26" t="inlineStr">
        <is>
          <t>2022-12-31</t>
        </is>
      </c>
      <c r="B46" s="26" t="n">
        <v>1494</v>
      </c>
      <c r="C46" s="27" t="inlineStr">
        <is>
          <t>VietMode RP-86</t>
        </is>
      </c>
      <c r="D46" s="26" t="inlineStr">
        <is>
          <t>Outdoor</t>
        </is>
      </c>
      <c r="E46" s="26" t="n">
        <v>48</v>
      </c>
      <c r="F46" s="26" t="n">
        <v>3</v>
      </c>
      <c r="G46" s="26" t="n">
        <v>2</v>
      </c>
      <c r="H46" s="28" t="n">
        <v>720</v>
      </c>
      <c r="I46" s="29" t="n">
        <v>0.9333</v>
      </c>
      <c r="J46" s="27" t="inlineStr">
        <is>
          <t>P1 - DATA CONFLICT</t>
        </is>
      </c>
      <c r="K46" s="27" t="inlineStr">
        <is>
          <t>CONFLICT - VERIFY BEFORE PO</t>
        </is>
      </c>
    </row>
    <row r="47">
      <c r="A47" s="26" t="inlineStr">
        <is>
          <t>2022-12-31</t>
        </is>
      </c>
      <c r="B47" s="26" t="n">
        <v>3</v>
      </c>
      <c r="C47" s="27" t="inlineStr">
        <is>
          <t>DragonWear MA-03</t>
        </is>
      </c>
      <c r="D47" s="26" t="inlineStr">
        <is>
          <t>Casual</t>
        </is>
      </c>
      <c r="E47" s="26" t="n">
        <v>151</v>
      </c>
      <c r="F47" s="26" t="n">
        <v>5</v>
      </c>
      <c r="G47" s="26" t="n">
        <v>6.666666666666667</v>
      </c>
      <c r="H47" s="28" t="n">
        <v>679.5</v>
      </c>
      <c r="I47" s="29" t="n">
        <v>0.9333</v>
      </c>
      <c r="J47" s="27" t="inlineStr">
        <is>
          <t>P1 - DATA CONFLICT</t>
        </is>
      </c>
      <c r="K47" s="27" t="inlineStr">
        <is>
          <t>CONFLICT - VERIFY BEFORE PO</t>
        </is>
      </c>
    </row>
    <row r="48">
      <c r="A48" s="26" t="inlineStr">
        <is>
          <t>2022-12-31</t>
        </is>
      </c>
      <c r="B48" s="26" t="n">
        <v>2350</v>
      </c>
      <c r="C48" s="27" t="inlineStr">
        <is>
          <t>VietMotion UE-24</t>
        </is>
      </c>
      <c r="D48" s="26" t="inlineStr">
        <is>
          <t>Streetwear</t>
        </is>
      </c>
      <c r="E48" s="26" t="n">
        <v>218</v>
      </c>
      <c r="F48" s="26" t="n">
        <v>9</v>
      </c>
      <c r="G48" s="26" t="n">
        <v>9.666666666666666</v>
      </c>
      <c r="H48" s="28" t="n">
        <v>676.5517241379312</v>
      </c>
      <c r="I48" s="29" t="n">
        <v>0.9333</v>
      </c>
      <c r="J48" s="27" t="inlineStr">
        <is>
          <t>P1 - DATA CONFLICT</t>
        </is>
      </c>
      <c r="K48" s="27" t="inlineStr">
        <is>
          <t>CONFLICT - VERIFY BEFORE PO</t>
        </is>
      </c>
    </row>
    <row r="49">
      <c r="A49" s="26" t="inlineStr">
        <is>
          <t>2022-12-31</t>
        </is>
      </c>
      <c r="B49" s="26" t="n">
        <v>1493</v>
      </c>
      <c r="C49" s="27" t="inlineStr">
        <is>
          <t>VietMode RP-85</t>
        </is>
      </c>
      <c r="D49" s="26" t="inlineStr">
        <is>
          <t>Outdoor</t>
        </is>
      </c>
      <c r="E49" s="26" t="n">
        <v>44</v>
      </c>
      <c r="F49" s="26" t="n">
        <v>3</v>
      </c>
      <c r="G49" s="26" t="n">
        <v>2</v>
      </c>
      <c r="H49" s="28" t="n">
        <v>660</v>
      </c>
      <c r="I49" s="29" t="n">
        <v>0.9333</v>
      </c>
      <c r="J49" s="27" t="inlineStr">
        <is>
          <t>P1 - DATA CONFLICT</t>
        </is>
      </c>
      <c r="K49" s="27" t="inlineStr">
        <is>
          <t>CONFLICT - VERIFY BEFORE PO</t>
        </is>
      </c>
    </row>
    <row r="50">
      <c r="A50" s="26" t="inlineStr">
        <is>
          <t>2022-12-31</t>
        </is>
      </c>
      <c r="B50" s="26" t="n">
        <v>2225</v>
      </c>
      <c r="C50" s="27" t="inlineStr">
        <is>
          <t>VietMotion RP-22</t>
        </is>
      </c>
      <c r="D50" s="26" t="inlineStr">
        <is>
          <t>Outdoor</t>
        </is>
      </c>
      <c r="E50" s="26" t="n">
        <v>815</v>
      </c>
      <c r="F50" s="26" t="n">
        <v>75</v>
      </c>
      <c r="G50" s="26" t="n">
        <v>37.33333333333334</v>
      </c>
      <c r="H50" s="28" t="n">
        <v>654.9107142857142</v>
      </c>
      <c r="I50" s="29" t="n">
        <v>0.9333</v>
      </c>
      <c r="J50" s="27" t="inlineStr">
        <is>
          <t>P1 - DATA CONFLICT</t>
        </is>
      </c>
      <c r="K50" s="27" t="inlineStr">
        <is>
          <t>CONFLICT - VERIFY BEFORE PO</t>
        </is>
      </c>
    </row>
    <row r="51">
      <c r="A51" s="26" t="inlineStr">
        <is>
          <t>2022-12-31</t>
        </is>
      </c>
      <c r="B51" s="26" t="n">
        <v>1941</v>
      </c>
      <c r="C51" s="27" t="inlineStr">
        <is>
          <t>UrbanVN RP-16</t>
        </is>
      </c>
      <c r="D51" s="26" t="inlineStr">
        <is>
          <t>Outdoor</t>
        </is>
      </c>
      <c r="E51" s="26" t="n">
        <v>20</v>
      </c>
      <c r="F51" s="26" t="n">
        <v>1</v>
      </c>
      <c r="G51" s="26" t="n">
        <v>1</v>
      </c>
      <c r="H51" s="28" t="n">
        <v>600</v>
      </c>
      <c r="I51" s="29" t="n">
        <v>0.9333</v>
      </c>
      <c r="J51" s="27" t="inlineStr">
        <is>
          <t>P1 - DATA CONFLICT</t>
        </is>
      </c>
      <c r="K51" s="27" t="inlineStr">
        <is>
          <t>CONFLICT - VERIFY BEFORE PO</t>
        </is>
      </c>
    </row>
    <row r="52">
      <c r="A52" s="26" t="inlineStr">
        <is>
          <t>2022-12-31</t>
        </is>
      </c>
      <c r="B52" s="26" t="n">
        <v>415</v>
      </c>
      <c r="C52" s="27" t="inlineStr">
        <is>
          <t>SaigonFlex UM-20</t>
        </is>
      </c>
      <c r="D52" s="26" t="inlineStr">
        <is>
          <t>Streetwear</t>
        </is>
      </c>
      <c r="E52" s="26" t="n">
        <v>180</v>
      </c>
      <c r="F52" s="26" t="n">
        <v>4</v>
      </c>
      <c r="G52" s="26" t="n">
        <v>9</v>
      </c>
      <c r="H52" s="28" t="n">
        <v>600</v>
      </c>
      <c r="I52" s="29" t="n">
        <v>0.9333</v>
      </c>
      <c r="J52" s="27" t="inlineStr">
        <is>
          <t>P1 - DATA CONFLICT</t>
        </is>
      </c>
      <c r="K52" s="27" t="inlineStr">
        <is>
          <t>CONFLICT - VERIFY BEFORE PO</t>
        </is>
      </c>
    </row>
    <row r="53">
      <c r="A53" s="26" t="inlineStr">
        <is>
          <t>2022-12-31</t>
        </is>
      </c>
      <c r="B53" s="26" t="n">
        <v>1308</v>
      </c>
      <c r="C53" s="27" t="inlineStr">
        <is>
          <t>VietMode MA-44</t>
        </is>
      </c>
      <c r="D53" s="26" t="inlineStr">
        <is>
          <t>Casual</t>
        </is>
      </c>
      <c r="E53" s="26" t="n">
        <v>31</v>
      </c>
      <c r="F53" s="26" t="n">
        <v>2</v>
      </c>
      <c r="G53" s="26" t="n">
        <v>1.666666666666667</v>
      </c>
      <c r="H53" s="28" t="n">
        <v>558</v>
      </c>
      <c r="I53" s="29" t="n">
        <v>0.9333</v>
      </c>
      <c r="J53" s="27" t="inlineStr">
        <is>
          <t>P1 - DATA CONFLICT</t>
        </is>
      </c>
      <c r="K53" s="27" t="inlineStr">
        <is>
          <t>CONFLICT - VERIFY BEFORE PO</t>
        </is>
      </c>
    </row>
    <row r="54">
      <c r="A54" s="26" t="inlineStr">
        <is>
          <t>2022-12-31</t>
        </is>
      </c>
      <c r="B54" s="26" t="n">
        <v>1050</v>
      </c>
      <c r="C54" s="27" t="inlineStr">
        <is>
          <t>MekongFit MA-08</t>
        </is>
      </c>
      <c r="D54" s="26" t="inlineStr">
        <is>
          <t>Casual</t>
        </is>
      </c>
      <c r="E54" s="26" t="n">
        <v>37</v>
      </c>
      <c r="F54" s="26" t="n">
        <v>1</v>
      </c>
      <c r="G54" s="26" t="n">
        <v>2</v>
      </c>
      <c r="H54" s="28" t="n">
        <v>555</v>
      </c>
      <c r="I54" s="29" t="n">
        <v>0.9333</v>
      </c>
      <c r="J54" s="27" t="inlineStr">
        <is>
          <t>P1 - DATA CONFLICT</t>
        </is>
      </c>
      <c r="K54" s="27" t="inlineStr">
        <is>
          <t>CONFLICT - VERIFY BEFORE PO</t>
        </is>
      </c>
    </row>
    <row r="55">
      <c r="A55" s="26" t="inlineStr">
        <is>
          <t>2022-12-31</t>
        </is>
      </c>
      <c r="B55" s="26" t="n">
        <v>1850</v>
      </c>
      <c r="C55" s="27" t="inlineStr">
        <is>
          <t>SaigonCore YY-45</t>
        </is>
      </c>
      <c r="D55" s="26" t="inlineStr">
        <is>
          <t>GenZ</t>
        </is>
      </c>
      <c r="E55" s="26" t="n">
        <v>43</v>
      </c>
      <c r="F55" s="26" t="n">
        <v>4</v>
      </c>
      <c r="G55" s="26" t="n">
        <v>2.333333333333333</v>
      </c>
      <c r="H55" s="28" t="n">
        <v>552.8571428571429</v>
      </c>
      <c r="I55" s="29" t="n">
        <v>0.9333</v>
      </c>
      <c r="J55" s="27" t="inlineStr">
        <is>
          <t>P1 - DATA CONFLICT</t>
        </is>
      </c>
      <c r="K55" s="27" t="inlineStr">
        <is>
          <t>CONFLICT - VERIFY BEFORE PO</t>
        </is>
      </c>
    </row>
    <row r="56">
      <c r="A56" s="26" t="inlineStr">
        <is>
          <t>2022-12-31</t>
        </is>
      </c>
      <c r="B56" s="26" t="n">
        <v>1180</v>
      </c>
      <c r="C56" s="27" t="inlineStr">
        <is>
          <t>MekongFit UE-16</t>
        </is>
      </c>
      <c r="D56" s="26" t="inlineStr">
        <is>
          <t>Streetwear</t>
        </is>
      </c>
      <c r="E56" s="26" t="n">
        <v>213</v>
      </c>
      <c r="F56" s="26" t="n">
        <v>9</v>
      </c>
      <c r="G56" s="26" t="n">
        <v>12.33333333333333</v>
      </c>
      <c r="H56" s="28" t="n">
        <v>518.108108108108</v>
      </c>
      <c r="I56" s="29" t="n">
        <v>0.9333</v>
      </c>
      <c r="J56" s="27" t="inlineStr">
        <is>
          <t>P1 - DATA CONFLICT</t>
        </is>
      </c>
      <c r="K56" s="27" t="inlineStr">
        <is>
          <t>CONFLICT - VERIFY BEFORE PO</t>
        </is>
      </c>
    </row>
    <row r="57">
      <c r="A57" s="26" t="inlineStr">
        <is>
          <t>2022-12-31</t>
        </is>
      </c>
      <c r="B57" s="26" t="n">
        <v>1498</v>
      </c>
      <c r="C57" s="27" t="inlineStr">
        <is>
          <t>VietMode RP-90</t>
        </is>
      </c>
      <c r="D57" s="26" t="inlineStr">
        <is>
          <t>Outdoor</t>
        </is>
      </c>
      <c r="E57" s="26" t="n">
        <v>17</v>
      </c>
      <c r="F57" s="26" t="n">
        <v>1</v>
      </c>
      <c r="G57" s="26" t="n">
        <v>1</v>
      </c>
      <c r="H57" s="28" t="n">
        <v>510</v>
      </c>
      <c r="I57" s="29" t="n">
        <v>0.9333</v>
      </c>
      <c r="J57" s="27" t="inlineStr">
        <is>
          <t>P1 - DATA CONFLICT</t>
        </is>
      </c>
      <c r="K57" s="27" t="inlineStr">
        <is>
          <t>CONFLICT - VERIFY BEFORE PO</t>
        </is>
      </c>
    </row>
    <row r="58">
      <c r="A58" s="26" t="inlineStr">
        <is>
          <t>2022-12-31</t>
        </is>
      </c>
      <c r="B58" s="26" t="n">
        <v>252</v>
      </c>
      <c r="C58" s="27" t="inlineStr">
        <is>
          <t>LotusWear UR-24</t>
        </is>
      </c>
      <c r="D58" s="26" t="inlineStr">
        <is>
          <t>Streetwear</t>
        </is>
      </c>
      <c r="E58" s="26" t="n">
        <v>34</v>
      </c>
      <c r="F58" s="26" t="n">
        <v>1</v>
      </c>
      <c r="G58" s="26" t="n">
        <v>2</v>
      </c>
      <c r="H58" s="28" t="n">
        <v>510</v>
      </c>
      <c r="I58" s="29" t="n">
        <v>0.9333</v>
      </c>
      <c r="J58" s="27" t="inlineStr">
        <is>
          <t>P1 - DATA CONFLICT</t>
        </is>
      </c>
      <c r="K58" s="27" t="inlineStr">
        <is>
          <t>CONFLICT - VERIFY BEFORE PO</t>
        </is>
      </c>
    </row>
    <row r="59">
      <c r="A59" s="26" t="inlineStr">
        <is>
          <t>2022-12-31</t>
        </is>
      </c>
      <c r="B59" s="26" t="n">
        <v>1845</v>
      </c>
      <c r="C59" s="27" t="inlineStr">
        <is>
          <t>SaigonCore YY-40</t>
        </is>
      </c>
      <c r="D59" s="26" t="inlineStr">
        <is>
          <t>GenZ</t>
        </is>
      </c>
      <c r="E59" s="26" t="n">
        <v>38</v>
      </c>
      <c r="F59" s="26" t="n">
        <v>3</v>
      </c>
      <c r="G59" s="26" t="n">
        <v>2.333333333333333</v>
      </c>
      <c r="H59" s="28" t="n">
        <v>488.5714285714286</v>
      </c>
      <c r="I59" s="29" t="n">
        <v>0.9333</v>
      </c>
      <c r="J59" s="27" t="inlineStr">
        <is>
          <t>P1 - DATA CONFLICT</t>
        </is>
      </c>
      <c r="K59" s="27" t="inlineStr">
        <is>
          <t>CONFLICT - VERIFY BEFORE PO</t>
        </is>
      </c>
    </row>
    <row r="60">
      <c r="A60" s="26" t="inlineStr">
        <is>
          <t>2022-12-31</t>
        </is>
      </c>
      <c r="B60" s="26" t="n">
        <v>476</v>
      </c>
      <c r="C60" s="27" t="inlineStr">
        <is>
          <t>SaigonFlex UM-81</t>
        </is>
      </c>
      <c r="D60" s="26" t="inlineStr">
        <is>
          <t>Streetwear</t>
        </is>
      </c>
      <c r="E60" s="26" t="n">
        <v>47</v>
      </c>
      <c r="F60" s="26" t="n">
        <v>3</v>
      </c>
      <c r="G60" s="26" t="n">
        <v>3</v>
      </c>
      <c r="H60" s="28" t="n">
        <v>470</v>
      </c>
      <c r="I60" s="29" t="n">
        <v>0.9333</v>
      </c>
      <c r="J60" s="27" t="inlineStr">
        <is>
          <t>P1 - DATA CONFLICT</t>
        </is>
      </c>
      <c r="K60" s="27" t="inlineStr">
        <is>
          <t>CONFLICT - VERIFY BEFORE PO</t>
        </is>
      </c>
    </row>
    <row r="61">
      <c r="A61" s="26" t="inlineStr">
        <is>
          <t>2022-12-31</t>
        </is>
      </c>
      <c r="B61" s="26" t="n">
        <v>1597</v>
      </c>
      <c r="C61" s="27" t="inlineStr">
        <is>
          <t>VietMode RS-35</t>
        </is>
      </c>
      <c r="D61" s="26" t="inlineStr">
        <is>
          <t>Outdoor</t>
        </is>
      </c>
      <c r="E61" s="26" t="n">
        <v>60</v>
      </c>
      <c r="F61" s="26" t="n">
        <v>8</v>
      </c>
      <c r="G61" s="26" t="n">
        <v>4.333333333333333</v>
      </c>
      <c r="H61" s="28" t="n">
        <v>415.3846153846154</v>
      </c>
      <c r="I61" s="29" t="n">
        <v>0.9333</v>
      </c>
      <c r="J61" s="27" t="inlineStr">
        <is>
          <t>P1 - DATA CONFLICT</t>
        </is>
      </c>
      <c r="K61" s="27" t="inlineStr">
        <is>
          <t>CONFLICT - VERIFY BEFORE PO</t>
        </is>
      </c>
    </row>
    <row r="62">
      <c r="A62" s="26" t="inlineStr">
        <is>
          <t>2022-12-31</t>
        </is>
      </c>
      <c r="B62" s="26" t="n">
        <v>1889</v>
      </c>
      <c r="C62" s="27" t="inlineStr">
        <is>
          <t>BambooCraft UC-08</t>
        </is>
      </c>
      <c r="D62" s="26" t="inlineStr">
        <is>
          <t>Streetwear</t>
        </is>
      </c>
      <c r="E62" s="26" t="n">
        <v>59</v>
      </c>
      <c r="F62" s="26" t="n">
        <v>5</v>
      </c>
      <c r="G62" s="26" t="n">
        <v>4.333333333333333</v>
      </c>
      <c r="H62" s="28" t="n">
        <v>408.4615384615385</v>
      </c>
      <c r="I62" s="29" t="n">
        <v>0.9333</v>
      </c>
      <c r="J62" s="27" t="inlineStr">
        <is>
          <t>P1 - DATA CONFLICT</t>
        </is>
      </c>
      <c r="K62" s="27" t="inlineStr">
        <is>
          <t>CONFLICT - VERIFY BEFORE PO</t>
        </is>
      </c>
    </row>
    <row r="63">
      <c r="A63" s="26" t="inlineStr">
        <is>
          <t>2022-12-31</t>
        </is>
      </c>
      <c r="B63" s="26" t="n">
        <v>963</v>
      </c>
      <c r="C63" s="27" t="inlineStr">
        <is>
          <t>HanoiStreet UC-26</t>
        </is>
      </c>
      <c r="D63" s="26" t="inlineStr">
        <is>
          <t>Streetwear</t>
        </is>
      </c>
      <c r="E63" s="26" t="n">
        <v>86</v>
      </c>
      <c r="F63" s="26" t="n">
        <v>7</v>
      </c>
      <c r="G63" s="26" t="n">
        <v>6.666666666666667</v>
      </c>
      <c r="H63" s="28" t="n">
        <v>387</v>
      </c>
      <c r="I63" s="29" t="n">
        <v>0.9333</v>
      </c>
      <c r="J63" s="27" t="inlineStr">
        <is>
          <t>P1 - DATA CONFLICT</t>
        </is>
      </c>
      <c r="K63" s="27" t="inlineStr">
        <is>
          <t>CONFLICT - VERIFY BEFORE PO</t>
        </is>
      </c>
    </row>
    <row r="64">
      <c r="A64" s="26" t="inlineStr">
        <is>
          <t>2022-12-31</t>
        </is>
      </c>
      <c r="B64" s="26" t="n">
        <v>585</v>
      </c>
      <c r="C64" s="27" t="inlineStr">
        <is>
          <t>SaigonFlex UC-50</t>
        </is>
      </c>
      <c r="D64" s="26" t="inlineStr">
        <is>
          <t>Streetwear</t>
        </is>
      </c>
      <c r="E64" s="26" t="n">
        <v>344</v>
      </c>
      <c r="F64" s="26" t="n">
        <v>27</v>
      </c>
      <c r="G64" s="26" t="n">
        <v>27.66666666666667</v>
      </c>
      <c r="H64" s="28" t="n">
        <v>373.0120481927711</v>
      </c>
      <c r="I64" s="29" t="n">
        <v>0.9333</v>
      </c>
      <c r="J64" s="27" t="inlineStr">
        <is>
          <t>P1 - DATA CONFLICT</t>
        </is>
      </c>
      <c r="K64" s="27" t="inlineStr">
        <is>
          <t>CONFLICT - VERIFY BEFORE PO</t>
        </is>
      </c>
    </row>
    <row r="65">
      <c r="A65" s="26" t="inlineStr">
        <is>
          <t>2022-12-31</t>
        </is>
      </c>
      <c r="B65" s="26" t="n">
        <v>338</v>
      </c>
      <c r="C65" s="27" t="inlineStr">
        <is>
          <t>LotusWear UE-59</t>
        </is>
      </c>
      <c r="D65" s="26" t="inlineStr">
        <is>
          <t>Streetwear</t>
        </is>
      </c>
      <c r="E65" s="26" t="n">
        <v>37</v>
      </c>
      <c r="F65" s="26" t="n">
        <v>1</v>
      </c>
      <c r="G65" s="26" t="n">
        <v>3</v>
      </c>
      <c r="H65" s="28" t="n">
        <v>370</v>
      </c>
      <c r="I65" s="29" t="n">
        <v>0.9333</v>
      </c>
      <c r="J65" s="27" t="inlineStr">
        <is>
          <t>P1 - DATA CONFLICT</t>
        </is>
      </c>
      <c r="K65" s="27" t="inlineStr">
        <is>
          <t>CONFLICT - VERIFY BEFORE PO</t>
        </is>
      </c>
    </row>
    <row r="66">
      <c r="A66" s="26" t="inlineStr">
        <is>
          <t>2022-12-31</t>
        </is>
      </c>
      <c r="B66" s="26" t="n">
        <v>1059</v>
      </c>
      <c r="C66" s="27" t="inlineStr">
        <is>
          <t>MekongFit RP-05</t>
        </is>
      </c>
      <c r="D66" s="26" t="inlineStr">
        <is>
          <t>Outdoor</t>
        </is>
      </c>
      <c r="E66" s="26" t="n">
        <v>147</v>
      </c>
      <c r="F66" s="26" t="n">
        <v>19</v>
      </c>
      <c r="G66" s="26" t="n">
        <v>12</v>
      </c>
      <c r="H66" s="28" t="n">
        <v>367.5</v>
      </c>
      <c r="I66" s="29" t="n">
        <v>0.9333</v>
      </c>
      <c r="J66" s="27" t="inlineStr">
        <is>
          <t>P1 - DATA CONFLICT</t>
        </is>
      </c>
      <c r="K66" s="27" t="inlineStr">
        <is>
          <t>CONFLICT - VERIFY BEFORE PO</t>
        </is>
      </c>
    </row>
    <row r="67">
      <c r="A67" s="26" t="inlineStr">
        <is>
          <t>2022-12-31</t>
        </is>
      </c>
      <c r="B67" s="26" t="n">
        <v>1650</v>
      </c>
      <c r="C67" s="27" t="inlineStr">
        <is>
          <t>VietMode RS-88</t>
        </is>
      </c>
      <c r="D67" s="26" t="inlineStr">
        <is>
          <t>Outdoor</t>
        </is>
      </c>
      <c r="E67" s="26" t="n">
        <v>69</v>
      </c>
      <c r="F67" s="26" t="n">
        <v>8</v>
      </c>
      <c r="G67" s="26" t="n">
        <v>5.666666666666667</v>
      </c>
      <c r="H67" s="28" t="n">
        <v>365.2941176470588</v>
      </c>
      <c r="I67" s="29" t="n">
        <v>0.9333</v>
      </c>
      <c r="J67" s="27" t="inlineStr">
        <is>
          <t>P1 - DATA CONFLICT</t>
        </is>
      </c>
      <c r="K67" s="27" t="inlineStr">
        <is>
          <t>CONFLICT - VERIFY BEFORE PO</t>
        </is>
      </c>
    </row>
    <row r="68">
      <c r="A68" s="26" t="inlineStr">
        <is>
          <t>2022-12-31</t>
        </is>
      </c>
      <c r="B68" s="26" t="n">
        <v>1752</v>
      </c>
      <c r="C68" s="27" t="inlineStr">
        <is>
          <t>SaigonCore UM-04</t>
        </is>
      </c>
      <c r="D68" s="26" t="inlineStr">
        <is>
          <t>Streetwear</t>
        </is>
      </c>
      <c r="E68" s="26" t="n">
        <v>12</v>
      </c>
      <c r="F68" s="26" t="n">
        <v>1</v>
      </c>
      <c r="G68" s="26" t="n">
        <v>1</v>
      </c>
      <c r="H68" s="28" t="n">
        <v>360</v>
      </c>
      <c r="I68" s="29" t="n">
        <v>0.9333</v>
      </c>
      <c r="J68" s="27" t="inlineStr">
        <is>
          <t>P1 - DATA CONFLICT</t>
        </is>
      </c>
      <c r="K68" s="27" t="inlineStr">
        <is>
          <t>CONFLICT - VERIFY BEFORE PO</t>
        </is>
      </c>
    </row>
    <row r="69">
      <c r="A69" s="26" t="inlineStr">
        <is>
          <t>2022-12-31</t>
        </is>
      </c>
      <c r="B69" s="26" t="n">
        <v>2186</v>
      </c>
      <c r="C69" s="27" t="inlineStr">
        <is>
          <t>PhoenixWear UC-16</t>
        </is>
      </c>
      <c r="D69" s="26" t="inlineStr">
        <is>
          <t>Streetwear</t>
        </is>
      </c>
      <c r="E69" s="26" t="n">
        <v>12</v>
      </c>
      <c r="F69" s="26" t="n">
        <v>1</v>
      </c>
      <c r="G69" s="26" t="n">
        <v>1</v>
      </c>
      <c r="H69" s="28" t="n">
        <v>360</v>
      </c>
      <c r="I69" s="29" t="n">
        <v>0.9333</v>
      </c>
      <c r="J69" s="27" t="inlineStr">
        <is>
          <t>P1 - DATA CONFLICT</t>
        </is>
      </c>
      <c r="K69" s="27" t="inlineStr">
        <is>
          <t>CONFLICT - VERIFY BEFORE PO</t>
        </is>
      </c>
    </row>
    <row r="70">
      <c r="A70" s="26" t="inlineStr">
        <is>
          <t>2022-12-31</t>
        </is>
      </c>
      <c r="B70" s="26" t="n">
        <v>2042</v>
      </c>
      <c r="C70" s="27" t="inlineStr">
        <is>
          <t>UrbanVN UE-02</t>
        </is>
      </c>
      <c r="D70" s="26" t="inlineStr">
        <is>
          <t>Streetwear</t>
        </is>
      </c>
      <c r="E70" s="26" t="n">
        <v>15</v>
      </c>
      <c r="F70" s="26" t="n">
        <v>1</v>
      </c>
      <c r="G70" s="26" t="n">
        <v>1.333333333333333</v>
      </c>
      <c r="H70" s="28" t="n">
        <v>337.5000000000001</v>
      </c>
      <c r="I70" s="29" t="n">
        <v>0.9333</v>
      </c>
      <c r="J70" s="27" t="inlineStr">
        <is>
          <t>P1 - DATA CONFLICT</t>
        </is>
      </c>
      <c r="K70" s="27" t="inlineStr">
        <is>
          <t>CONFLICT - VERIFY BEFORE PO</t>
        </is>
      </c>
    </row>
    <row r="71">
      <c r="A71" s="26" t="inlineStr">
        <is>
          <t>2022-12-31</t>
        </is>
      </c>
      <c r="B71" s="26" t="n">
        <v>202</v>
      </c>
      <c r="C71" s="27" t="inlineStr">
        <is>
          <t>IndigoViet UM-04</t>
        </is>
      </c>
      <c r="D71" s="26" t="inlineStr">
        <is>
          <t>Streetwear</t>
        </is>
      </c>
      <c r="E71" s="26" t="n">
        <v>133</v>
      </c>
      <c r="F71" s="26" t="n">
        <v>7</v>
      </c>
      <c r="G71" s="26" t="n">
        <v>12</v>
      </c>
      <c r="H71" s="28" t="n">
        <v>332.5</v>
      </c>
      <c r="I71" s="29" t="n">
        <v>0.9333</v>
      </c>
      <c r="J71" s="27" t="inlineStr">
        <is>
          <t>P1 - DATA CONFLICT</t>
        </is>
      </c>
      <c r="K71" s="27" t="inlineStr">
        <is>
          <t>CONFLICT - VERIFY BEFORE PO</t>
        </is>
      </c>
    </row>
    <row r="72">
      <c r="A72" s="26" t="inlineStr">
        <is>
          <t>2022-12-31</t>
        </is>
      </c>
      <c r="B72" s="26" t="n">
        <v>549</v>
      </c>
      <c r="C72" s="27" t="inlineStr">
        <is>
          <t>SaigonFlex UC-14</t>
        </is>
      </c>
      <c r="D72" s="26" t="inlineStr">
        <is>
          <t>Streetwear</t>
        </is>
      </c>
      <c r="E72" s="26" t="n">
        <v>229</v>
      </c>
      <c r="F72" s="26" t="n">
        <v>18</v>
      </c>
      <c r="G72" s="26" t="n">
        <v>20.66666666666667</v>
      </c>
      <c r="H72" s="28" t="n">
        <v>332.4193548387097</v>
      </c>
      <c r="I72" s="29" t="n">
        <v>0.9333</v>
      </c>
      <c r="J72" s="27" t="inlineStr">
        <is>
          <t>P1 - DATA CONFLICT</t>
        </is>
      </c>
      <c r="K72" s="27" t="inlineStr">
        <is>
          <t>CONFLICT - VERIFY BEFORE PO</t>
        </is>
      </c>
    </row>
    <row r="73">
      <c r="A73" s="26" t="inlineStr">
        <is>
          <t>2022-12-31</t>
        </is>
      </c>
      <c r="B73" s="26" t="n">
        <v>974</v>
      </c>
      <c r="C73" s="27" t="inlineStr">
        <is>
          <t>HanoiStreet UC-37</t>
        </is>
      </c>
      <c r="D73" s="26" t="inlineStr">
        <is>
          <t>Streetwear</t>
        </is>
      </c>
      <c r="E73" s="26" t="n">
        <v>39</v>
      </c>
      <c r="F73" s="26" t="n">
        <v>4</v>
      </c>
      <c r="G73" s="26" t="n">
        <v>3.666666666666667</v>
      </c>
      <c r="H73" s="28" t="n">
        <v>319.0909090909091</v>
      </c>
      <c r="I73" s="29" t="n">
        <v>0.9333</v>
      </c>
      <c r="J73" s="27" t="inlineStr">
        <is>
          <t>P1 - DATA CONFLICT</t>
        </is>
      </c>
      <c r="K73" s="27" t="inlineStr">
        <is>
          <t>CONFLICT - VERIFY BEFORE PO</t>
        </is>
      </c>
    </row>
    <row r="74">
      <c r="A74" s="26" t="inlineStr">
        <is>
          <t>2022-12-31</t>
        </is>
      </c>
      <c r="B74" s="26" t="n">
        <v>555</v>
      </c>
      <c r="C74" s="27" t="inlineStr">
        <is>
          <t>SaigonFlex UC-20</t>
        </is>
      </c>
      <c r="D74" s="26" t="inlineStr">
        <is>
          <t>Streetwear</t>
        </is>
      </c>
      <c r="E74" s="26" t="n">
        <v>111</v>
      </c>
      <c r="F74" s="26" t="n">
        <v>11</v>
      </c>
      <c r="G74" s="26" t="n">
        <v>10.66666666666667</v>
      </c>
      <c r="H74" s="28" t="n">
        <v>312.1875000000001</v>
      </c>
      <c r="I74" s="29" t="n">
        <v>0.9333</v>
      </c>
      <c r="J74" s="27" t="inlineStr">
        <is>
          <t>P1 - DATA CONFLICT</t>
        </is>
      </c>
      <c r="K74" s="27" t="inlineStr">
        <is>
          <t>CONFLICT - VERIFY BEFORE PO</t>
        </is>
      </c>
    </row>
    <row r="75">
      <c r="A75" s="26" t="inlineStr">
        <is>
          <t>2022-12-31</t>
        </is>
      </c>
      <c r="B75" s="26" t="n">
        <v>816</v>
      </c>
      <c r="C75" s="27" t="inlineStr">
        <is>
          <t>HanoiStreet RS-20</t>
        </is>
      </c>
      <c r="D75" s="26" t="inlineStr">
        <is>
          <t>Outdoor</t>
        </is>
      </c>
      <c r="E75" s="26" t="n">
        <v>319</v>
      </c>
      <c r="F75" s="26" t="n">
        <v>27</v>
      </c>
      <c r="G75" s="26" t="n">
        <v>30.66666666666667</v>
      </c>
      <c r="H75" s="28" t="n">
        <v>312.0652173913043</v>
      </c>
      <c r="I75" s="29" t="n">
        <v>0.9333</v>
      </c>
      <c r="J75" s="27" t="inlineStr">
        <is>
          <t>P1 - DATA CONFLICT</t>
        </is>
      </c>
      <c r="K75" s="27" t="inlineStr">
        <is>
          <t>CONFLICT - VERIFY BEFORE PO</t>
        </is>
      </c>
    </row>
    <row r="76">
      <c r="A76" s="26" t="inlineStr">
        <is>
          <t>2022-12-31</t>
        </is>
      </c>
      <c r="B76" s="26" t="n">
        <v>449</v>
      </c>
      <c r="C76" s="27" t="inlineStr">
        <is>
          <t>SaigonFlex UM-54</t>
        </is>
      </c>
      <c r="D76" s="26" t="inlineStr">
        <is>
          <t>Streetwear</t>
        </is>
      </c>
      <c r="E76" s="26" t="n">
        <v>1115</v>
      </c>
      <c r="F76" s="26" t="n">
        <v>116</v>
      </c>
      <c r="G76" s="26" t="n">
        <v>108.6666666666667</v>
      </c>
      <c r="H76" s="28" t="n">
        <v>307.8220858895705</v>
      </c>
      <c r="I76" s="29" t="n">
        <v>0.9333</v>
      </c>
      <c r="J76" s="27" t="inlineStr">
        <is>
          <t>P1 - DATA CONFLICT</t>
        </is>
      </c>
      <c r="K76" s="27" t="inlineStr">
        <is>
          <t>CONFLICT - VERIFY BEFORE PO</t>
        </is>
      </c>
    </row>
    <row r="77">
      <c r="A77" s="26" t="inlineStr">
        <is>
          <t>2022-12-31</t>
        </is>
      </c>
      <c r="B77" s="26" t="n">
        <v>1103</v>
      </c>
      <c r="C77" s="27" t="inlineStr">
        <is>
          <t>MekongFit RP-49</t>
        </is>
      </c>
      <c r="D77" s="26" t="inlineStr">
        <is>
          <t>Outdoor</t>
        </is>
      </c>
      <c r="E77" s="26" t="n">
        <v>99</v>
      </c>
      <c r="F77" s="26" t="n">
        <v>17</v>
      </c>
      <c r="G77" s="26" t="n">
        <v>9.666666666666666</v>
      </c>
      <c r="H77" s="28" t="n">
        <v>307.2413793103449</v>
      </c>
      <c r="I77" s="29" t="n">
        <v>0.9333</v>
      </c>
      <c r="J77" s="27" t="inlineStr">
        <is>
          <t>P1 - DATA CONFLICT</t>
        </is>
      </c>
      <c r="K77" s="27" t="inlineStr">
        <is>
          <t>CONFLICT - VERIFY BEFORE PO</t>
        </is>
      </c>
    </row>
    <row r="78">
      <c r="A78" s="26" t="inlineStr">
        <is>
          <t>2022-12-31</t>
        </is>
      </c>
      <c r="B78" s="26" t="n">
        <v>1855</v>
      </c>
      <c r="C78" s="27" t="inlineStr">
        <is>
          <t>SaigonCore YY-50</t>
        </is>
      </c>
      <c r="D78" s="26" t="inlineStr">
        <is>
          <t>GenZ</t>
        </is>
      </c>
      <c r="E78" s="26" t="n">
        <v>22</v>
      </c>
      <c r="F78" s="26" t="n">
        <v>2</v>
      </c>
      <c r="G78" s="26" t="n">
        <v>2.333333333333333</v>
      </c>
      <c r="H78" s="28" t="n">
        <v>282.8571428571428</v>
      </c>
      <c r="I78" s="29" t="n">
        <v>0.9333</v>
      </c>
      <c r="J78" s="27" t="inlineStr">
        <is>
          <t>P1 - DATA CONFLICT</t>
        </is>
      </c>
      <c r="K78" s="27" t="inlineStr">
        <is>
          <t>CONFLICT - VERIFY BEFORE PO</t>
        </is>
      </c>
    </row>
    <row r="79">
      <c r="A79" s="26" t="inlineStr">
        <is>
          <t>2022-12-31</t>
        </is>
      </c>
      <c r="B79" s="26" t="n">
        <v>1722</v>
      </c>
      <c r="C79" s="27" t="inlineStr">
        <is>
          <t>NamStyle YY-33</t>
        </is>
      </c>
      <c r="D79" s="26" t="inlineStr">
        <is>
          <t>GenZ</t>
        </is>
      </c>
      <c r="E79" s="26" t="n">
        <v>75</v>
      </c>
      <c r="F79" s="26" t="n">
        <v>8</v>
      </c>
      <c r="G79" s="26" t="n">
        <v>8</v>
      </c>
      <c r="H79" s="28" t="n">
        <v>281.25</v>
      </c>
      <c r="I79" s="29" t="n">
        <v>0.9333</v>
      </c>
      <c r="J79" s="27" t="inlineStr">
        <is>
          <t>P1 - DATA CONFLICT</t>
        </is>
      </c>
      <c r="K79" s="27" t="inlineStr">
        <is>
          <t>CONFLICT - VERIFY BEFORE PO</t>
        </is>
      </c>
    </row>
    <row r="80">
      <c r="A80" s="26" t="inlineStr">
        <is>
          <t>2022-12-31</t>
        </is>
      </c>
      <c r="B80" s="26" t="n">
        <v>1810</v>
      </c>
      <c r="C80" s="27" t="inlineStr">
        <is>
          <t>SaigonCore YY-05</t>
        </is>
      </c>
      <c r="D80" s="26" t="inlineStr">
        <is>
          <t>GenZ</t>
        </is>
      </c>
      <c r="E80" s="26" t="n">
        <v>36</v>
      </c>
      <c r="F80" s="26" t="n">
        <v>3</v>
      </c>
      <c r="G80" s="26" t="n">
        <v>4</v>
      </c>
      <c r="H80" s="28" t="n">
        <v>270</v>
      </c>
      <c r="I80" s="29" t="n">
        <v>0.9333</v>
      </c>
      <c r="J80" s="27" t="inlineStr">
        <is>
          <t>P1 - DATA CONFLICT</t>
        </is>
      </c>
      <c r="K80" s="27" t="inlineStr">
        <is>
          <t>CONFLICT - VERIFY BEFORE PO</t>
        </is>
      </c>
    </row>
    <row r="81">
      <c r="A81" s="26" t="inlineStr">
        <is>
          <t>2022-12-31</t>
        </is>
      </c>
      <c r="B81" s="26" t="n">
        <v>2133</v>
      </c>
      <c r="C81" s="27" t="inlineStr">
        <is>
          <t>PhoenixWear UR-09</t>
        </is>
      </c>
      <c r="D81" s="26" t="inlineStr">
        <is>
          <t>Streetwear</t>
        </is>
      </c>
      <c r="E81" s="26" t="n">
        <v>14</v>
      </c>
      <c r="F81" s="26" t="n">
        <v>2</v>
      </c>
      <c r="G81" s="26" t="n">
        <v>1.666666666666667</v>
      </c>
      <c r="H81" s="28" t="n">
        <v>252</v>
      </c>
      <c r="I81" s="29" t="n">
        <v>0.9333</v>
      </c>
      <c r="J81" s="27" t="inlineStr">
        <is>
          <t>P1 - DATA CONFLICT</t>
        </is>
      </c>
      <c r="K81" s="27" t="inlineStr">
        <is>
          <t>CONFLICT - VERIFY BEFORE PO</t>
        </is>
      </c>
    </row>
    <row r="82">
      <c r="A82" s="26" t="inlineStr">
        <is>
          <t>2022-12-31</t>
        </is>
      </c>
      <c r="B82" s="26" t="n">
        <v>1883</v>
      </c>
      <c r="C82" s="27" t="inlineStr">
        <is>
          <t>BambooCraft UC-02</t>
        </is>
      </c>
      <c r="D82" s="26" t="inlineStr">
        <is>
          <t>Streetwear</t>
        </is>
      </c>
      <c r="E82" s="26" t="n">
        <v>7</v>
      </c>
      <c r="F82" s="26" t="n">
        <v>1</v>
      </c>
      <c r="G82" s="26" t="n">
        <v>1</v>
      </c>
      <c r="H82" s="28" t="n">
        <v>210</v>
      </c>
      <c r="I82" s="29" t="n">
        <v>0.9333</v>
      </c>
      <c r="J82" s="27" t="inlineStr">
        <is>
          <t>P1 - DATA CONFLICT</t>
        </is>
      </c>
      <c r="K82" s="27" t="inlineStr">
        <is>
          <t>CONFLICT - VERIFY BEFORE PO</t>
        </is>
      </c>
    </row>
    <row r="83">
      <c r="A83" s="26" t="inlineStr">
        <is>
          <t>2022-12-31</t>
        </is>
      </c>
      <c r="B83" s="26" t="n">
        <v>471</v>
      </c>
      <c r="C83" s="27" t="inlineStr">
        <is>
          <t>SaigonFlex UM-76</t>
        </is>
      </c>
      <c r="D83" s="26" t="inlineStr">
        <is>
          <t>Streetwear</t>
        </is>
      </c>
      <c r="E83" s="26" t="n">
        <v>112</v>
      </c>
      <c r="F83" s="26" t="n">
        <v>14</v>
      </c>
      <c r="G83" s="26" t="n">
        <v>16.66666666666667</v>
      </c>
      <c r="H83" s="28" t="n">
        <v>201.6</v>
      </c>
      <c r="I83" s="29" t="n">
        <v>0.9333</v>
      </c>
      <c r="J83" s="27" t="inlineStr">
        <is>
          <t>P1 - DATA CONFLICT</t>
        </is>
      </c>
      <c r="K83" s="27" t="inlineStr">
        <is>
          <t>CONFLICT - VERIFY BEFORE PO</t>
        </is>
      </c>
    </row>
    <row r="84">
      <c r="A84" s="26" t="inlineStr">
        <is>
          <t>2022-12-31</t>
        </is>
      </c>
      <c r="B84" s="26" t="n">
        <v>908</v>
      </c>
      <c r="C84" s="27" t="inlineStr">
        <is>
          <t>HanoiStreet UE-17</t>
        </is>
      </c>
      <c r="D84" s="26" t="inlineStr">
        <is>
          <t>Streetwear</t>
        </is>
      </c>
      <c r="E84" s="26" t="n">
        <v>200</v>
      </c>
      <c r="F84" s="26" t="n">
        <v>22</v>
      </c>
      <c r="G84" s="26" t="n">
        <v>30.33333333333333</v>
      </c>
      <c r="H84" s="28" t="n">
        <v>197.8021978021978</v>
      </c>
      <c r="I84" s="29" t="n">
        <v>0.9333</v>
      </c>
      <c r="J84" s="27" t="inlineStr">
        <is>
          <t>P1 - DATA CONFLICT</t>
        </is>
      </c>
      <c r="K84" s="27" t="inlineStr">
        <is>
          <t>CONFLICT - VERIFY BEFORE PO</t>
        </is>
      </c>
    </row>
    <row r="85">
      <c r="A85" s="26" t="inlineStr">
        <is>
          <t>2022-12-31</t>
        </is>
      </c>
      <c r="B85" s="26" t="n">
        <v>2104</v>
      </c>
      <c r="C85" s="27" t="inlineStr">
        <is>
          <t>PhoenixWear MA-03</t>
        </is>
      </c>
      <c r="D85" s="26" t="inlineStr">
        <is>
          <t>Casual</t>
        </is>
      </c>
      <c r="E85" s="26" t="n">
        <v>19</v>
      </c>
      <c r="F85" s="26" t="n">
        <v>3</v>
      </c>
      <c r="G85" s="26" t="n">
        <v>3</v>
      </c>
      <c r="H85" s="28" t="n">
        <v>190</v>
      </c>
      <c r="I85" s="29" t="n">
        <v>0.9333</v>
      </c>
      <c r="J85" s="27" t="inlineStr">
        <is>
          <t>P1 - DATA CONFLICT</t>
        </is>
      </c>
      <c r="K85" s="27" t="inlineStr">
        <is>
          <t>CONFLICT - VERIFY BEFORE PO</t>
        </is>
      </c>
    </row>
    <row r="86">
      <c r="A86" s="26" t="inlineStr">
        <is>
          <t>2022-12-31</t>
        </is>
      </c>
      <c r="B86" s="26" t="n">
        <v>183</v>
      </c>
      <c r="C86" s="27" t="inlineStr">
        <is>
          <t>DragonWear UE-11</t>
        </is>
      </c>
      <c r="D86" s="26" t="inlineStr">
        <is>
          <t>Streetwear</t>
        </is>
      </c>
      <c r="E86" s="26" t="n">
        <v>82</v>
      </c>
      <c r="F86" s="26" t="n">
        <v>8</v>
      </c>
      <c r="G86" s="26" t="n">
        <v>13</v>
      </c>
      <c r="H86" s="28" t="n">
        <v>189.2307692307692</v>
      </c>
      <c r="I86" s="29" t="n">
        <v>0.9333</v>
      </c>
      <c r="J86" s="27" t="inlineStr">
        <is>
          <t>P1 - DATA CONFLICT</t>
        </is>
      </c>
      <c r="K86" s="27" t="inlineStr">
        <is>
          <t>CONFLICT - VERIFY BEFORE PO</t>
        </is>
      </c>
    </row>
    <row r="87">
      <c r="A87" s="26" t="inlineStr">
        <is>
          <t>2022-12-31</t>
        </is>
      </c>
      <c r="B87" s="26" t="n">
        <v>109</v>
      </c>
      <c r="C87" s="27" t="inlineStr">
        <is>
          <t>DragonWear UM-36</t>
        </is>
      </c>
      <c r="D87" s="26" t="inlineStr">
        <is>
          <t>Streetwear</t>
        </is>
      </c>
      <c r="E87" s="26" t="n">
        <v>48</v>
      </c>
      <c r="F87" s="26" t="n">
        <v>10</v>
      </c>
      <c r="G87" s="26" t="n">
        <v>7.666666666666667</v>
      </c>
      <c r="H87" s="28" t="n">
        <v>187.8260869565217</v>
      </c>
      <c r="I87" s="29" t="n">
        <v>0.9333</v>
      </c>
      <c r="J87" s="27" t="inlineStr">
        <is>
          <t>P1 - DATA CONFLICT</t>
        </is>
      </c>
      <c r="K87" s="27" t="inlineStr">
        <is>
          <t>CONFLICT - VERIFY BEFORE PO</t>
        </is>
      </c>
    </row>
    <row r="88">
      <c r="A88" s="26" t="inlineStr">
        <is>
          <t>2022-12-31</t>
        </is>
      </c>
      <c r="B88" s="26" t="n">
        <v>1568</v>
      </c>
      <c r="C88" s="27" t="inlineStr">
        <is>
          <t>VietMode RS-06</t>
        </is>
      </c>
      <c r="D88" s="26" t="inlineStr">
        <is>
          <t>Outdoor</t>
        </is>
      </c>
      <c r="E88" s="26" t="n">
        <v>8</v>
      </c>
      <c r="F88" s="26" t="n">
        <v>1</v>
      </c>
      <c r="G88" s="26" t="n">
        <v>1.333333333333333</v>
      </c>
      <c r="H88" s="28" t="n">
        <v>180</v>
      </c>
      <c r="I88" s="29" t="n">
        <v>0.9333</v>
      </c>
      <c r="J88" s="27" t="inlineStr">
        <is>
          <t>P1 - DATA CONFLICT</t>
        </is>
      </c>
      <c r="K88" s="27" t="inlineStr">
        <is>
          <t>CONFLICT - VERIFY BEFORE PO</t>
        </is>
      </c>
    </row>
    <row r="89">
      <c r="A89" s="26" t="inlineStr">
        <is>
          <t>2022-12-31</t>
        </is>
      </c>
      <c r="B89" s="26" t="n">
        <v>2100</v>
      </c>
      <c r="C89" s="27" t="inlineStr">
        <is>
          <t>UrbanVN YY-04</t>
        </is>
      </c>
      <c r="D89" s="26" t="inlineStr">
        <is>
          <t>GenZ</t>
        </is>
      </c>
      <c r="E89" s="26" t="n">
        <v>22</v>
      </c>
      <c r="F89" s="26" t="n">
        <v>5</v>
      </c>
      <c r="G89" s="26" t="n">
        <v>3.666666666666667</v>
      </c>
      <c r="H89" s="28" t="n">
        <v>180</v>
      </c>
      <c r="I89" s="29" t="n">
        <v>0.9333</v>
      </c>
      <c r="J89" s="27" t="inlineStr">
        <is>
          <t>P1 - DATA CONFLICT</t>
        </is>
      </c>
      <c r="K89" s="27" t="inlineStr">
        <is>
          <t>CONFLICT - VERIFY BEFORE PO</t>
        </is>
      </c>
    </row>
    <row r="90">
      <c r="A90" s="26" t="inlineStr">
        <is>
          <t>2022-12-31</t>
        </is>
      </c>
      <c r="B90" s="26" t="n">
        <v>1315</v>
      </c>
      <c r="C90" s="27" t="inlineStr">
        <is>
          <t>VietMode RP-07</t>
        </is>
      </c>
      <c r="D90" s="26" t="inlineStr">
        <is>
          <t>Outdoor</t>
        </is>
      </c>
      <c r="E90" s="26" t="n">
        <v>6</v>
      </c>
      <c r="F90" s="26" t="n">
        <v>1</v>
      </c>
      <c r="G90" s="26" t="n">
        <v>1</v>
      </c>
      <c r="H90" s="28" t="n">
        <v>180</v>
      </c>
      <c r="I90" s="29" t="n">
        <v>0.9333</v>
      </c>
      <c r="J90" s="27" t="inlineStr">
        <is>
          <t>P1 - DATA CONFLICT</t>
        </is>
      </c>
      <c r="K90" s="27" t="inlineStr">
        <is>
          <t>CONFLICT - VERIFY BEFORE PO</t>
        </is>
      </c>
    </row>
    <row r="91">
      <c r="A91" s="26" t="inlineStr">
        <is>
          <t>2022-12-31</t>
        </is>
      </c>
      <c r="B91" s="26" t="n">
        <v>2403</v>
      </c>
      <c r="C91" s="27" t="inlineStr">
        <is>
          <t>VietMotion YY-12</t>
        </is>
      </c>
      <c r="D91" s="26" t="inlineStr">
        <is>
          <t>GenZ</t>
        </is>
      </c>
      <c r="E91" s="26" t="n">
        <v>87</v>
      </c>
      <c r="F91" s="26" t="n">
        <v>18</v>
      </c>
      <c r="G91" s="26" t="n">
        <v>15.66666666666667</v>
      </c>
      <c r="H91" s="28" t="n">
        <v>166.5957446808511</v>
      </c>
      <c r="I91" s="29" t="n">
        <v>0.9333</v>
      </c>
      <c r="J91" s="27" t="inlineStr">
        <is>
          <t>P1 - DATA CONFLICT</t>
        </is>
      </c>
      <c r="K91" s="27" t="inlineStr">
        <is>
          <t>CONFLICT - VERIFY BEFORE PO</t>
        </is>
      </c>
    </row>
    <row r="92">
      <c r="A92" s="26" t="inlineStr">
        <is>
          <t>2022-12-31</t>
        </is>
      </c>
      <c r="B92" s="26" t="n">
        <v>2036</v>
      </c>
      <c r="C92" s="27" t="inlineStr">
        <is>
          <t>UrbanVN UR-39</t>
        </is>
      </c>
      <c r="D92" s="26" t="inlineStr">
        <is>
          <t>Streetwear</t>
        </is>
      </c>
      <c r="E92" s="26" t="n">
        <v>42</v>
      </c>
      <c r="F92" s="26" t="n">
        <v>17</v>
      </c>
      <c r="G92" s="26" t="n">
        <v>7.666666666666667</v>
      </c>
      <c r="H92" s="28" t="n">
        <v>164.3478260869565</v>
      </c>
      <c r="I92" s="29" t="n">
        <v>0.9333</v>
      </c>
      <c r="J92" s="27" t="inlineStr">
        <is>
          <t>P1 - DATA CONFLICT</t>
        </is>
      </c>
      <c r="K92" s="27" t="inlineStr">
        <is>
          <t>CONFLICT - VERIFY BEFORE PO</t>
        </is>
      </c>
    </row>
    <row r="93">
      <c r="A93" s="26" t="inlineStr">
        <is>
          <t>2022-12-31</t>
        </is>
      </c>
      <c r="B93" s="26" t="n">
        <v>640</v>
      </c>
      <c r="C93" s="27" t="inlineStr">
        <is>
          <t>SaigonFlex UC-05</t>
        </is>
      </c>
      <c r="D93" s="26" t="inlineStr">
        <is>
          <t>Streetwear</t>
        </is>
      </c>
      <c r="E93" s="26" t="n">
        <v>56</v>
      </c>
      <c r="F93" s="26" t="n">
        <v>9</v>
      </c>
      <c r="G93" s="26" t="n">
        <v>10.33333333333333</v>
      </c>
      <c r="H93" s="28" t="n">
        <v>162.5806451612903</v>
      </c>
      <c r="I93" s="29" t="n">
        <v>0.9333</v>
      </c>
      <c r="J93" s="27" t="inlineStr">
        <is>
          <t>P1 - DATA CONFLICT</t>
        </is>
      </c>
      <c r="K93" s="27" t="inlineStr">
        <is>
          <t>CONFLICT - VERIFY BEFORE PO</t>
        </is>
      </c>
    </row>
    <row r="94">
      <c r="A94" s="26" t="inlineStr">
        <is>
          <t>2022-12-31</t>
        </is>
      </c>
      <c r="B94" s="26" t="n">
        <v>431</v>
      </c>
      <c r="C94" s="27" t="inlineStr">
        <is>
          <t>SaigonFlex UM-36</t>
        </is>
      </c>
      <c r="D94" s="26" t="inlineStr">
        <is>
          <t>Streetwear</t>
        </is>
      </c>
      <c r="E94" s="26" t="n">
        <v>92</v>
      </c>
      <c r="F94" s="26" t="n">
        <v>8</v>
      </c>
      <c r="G94" s="26" t="n">
        <v>17</v>
      </c>
      <c r="H94" s="28" t="n">
        <v>162.3529411764706</v>
      </c>
      <c r="I94" s="29" t="n">
        <v>0.9333</v>
      </c>
      <c r="J94" s="27" t="inlineStr">
        <is>
          <t>P1 - DATA CONFLICT</t>
        </is>
      </c>
      <c r="K94" s="27" t="inlineStr">
        <is>
          <t>CONFLICT - VERIFY BEFORE PO</t>
        </is>
      </c>
    </row>
    <row r="95">
      <c r="A95" s="26" t="inlineStr">
        <is>
          <t>2022-12-31</t>
        </is>
      </c>
      <c r="B95" s="26" t="n">
        <v>462</v>
      </c>
      <c r="C95" s="27" t="inlineStr">
        <is>
          <t>SaigonFlex UM-67</t>
        </is>
      </c>
      <c r="D95" s="26" t="inlineStr">
        <is>
          <t>Streetwear</t>
        </is>
      </c>
      <c r="E95" s="26" t="n">
        <v>29</v>
      </c>
      <c r="F95" s="26" t="n">
        <v>3</v>
      </c>
      <c r="G95" s="26" t="n">
        <v>5.666666666666667</v>
      </c>
      <c r="H95" s="28" t="n">
        <v>153.5294117647059</v>
      </c>
      <c r="I95" s="29" t="n">
        <v>0.9333</v>
      </c>
      <c r="J95" s="27" t="inlineStr">
        <is>
          <t>P1 - DATA CONFLICT</t>
        </is>
      </c>
      <c r="K95" s="27" t="inlineStr">
        <is>
          <t>CONFLICT - VERIFY BEFORE PO</t>
        </is>
      </c>
    </row>
    <row r="96">
      <c r="A96" s="26" t="inlineStr">
        <is>
          <t>2022-12-31</t>
        </is>
      </c>
      <c r="B96" s="26" t="n">
        <v>402</v>
      </c>
      <c r="C96" s="27" t="inlineStr">
        <is>
          <t>SaigonFlex UM-07</t>
        </is>
      </c>
      <c r="D96" s="26" t="inlineStr">
        <is>
          <t>Streetwear</t>
        </is>
      </c>
      <c r="E96" s="26" t="n">
        <v>75</v>
      </c>
      <c r="F96" s="26" t="n">
        <v>17</v>
      </c>
      <c r="G96" s="26" t="n">
        <v>14.66666666666667</v>
      </c>
      <c r="H96" s="28" t="n">
        <v>153.4090909090909</v>
      </c>
      <c r="I96" s="29" t="n">
        <v>0.9333</v>
      </c>
      <c r="J96" s="27" t="inlineStr">
        <is>
          <t>P1 - DATA CONFLICT</t>
        </is>
      </c>
      <c r="K96" s="27" t="inlineStr">
        <is>
          <t>CONFLICT - VERIFY BEFORE PO</t>
        </is>
      </c>
    </row>
    <row r="97">
      <c r="A97" s="26" t="inlineStr">
        <is>
          <t>2022-12-31</t>
        </is>
      </c>
      <c r="B97" s="26" t="n">
        <v>537</v>
      </c>
      <c r="C97" s="27" t="inlineStr">
        <is>
          <t>SaigonFlex UC-02</t>
        </is>
      </c>
      <c r="D97" s="26" t="inlineStr">
        <is>
          <t>Streetwear</t>
        </is>
      </c>
      <c r="E97" s="26" t="n">
        <v>25</v>
      </c>
      <c r="F97" s="26" t="n">
        <v>3</v>
      </c>
      <c r="G97" s="26" t="n">
        <v>5</v>
      </c>
      <c r="H97" s="28" t="n">
        <v>150</v>
      </c>
      <c r="I97" s="29" t="n">
        <v>0.9333</v>
      </c>
      <c r="J97" s="27" t="inlineStr">
        <is>
          <t>P1 - DATA CONFLICT</t>
        </is>
      </c>
      <c r="K97" s="27" t="inlineStr">
        <is>
          <t>CONFLICT - VERIFY BEFORE PO</t>
        </is>
      </c>
    </row>
    <row r="98">
      <c r="A98" s="26" t="inlineStr">
        <is>
          <t>2022-12-31</t>
        </is>
      </c>
      <c r="B98" s="26" t="n">
        <v>653</v>
      </c>
      <c r="C98" s="27" t="inlineStr">
        <is>
          <t>SaigonFlex UC-18</t>
        </is>
      </c>
      <c r="D98" s="26" t="inlineStr">
        <is>
          <t>Streetwear</t>
        </is>
      </c>
      <c r="E98" s="26" t="n">
        <v>88</v>
      </c>
      <c r="F98" s="26" t="n">
        <v>18</v>
      </c>
      <c r="G98" s="26" t="n">
        <v>17.66666666666667</v>
      </c>
      <c r="H98" s="28" t="n">
        <v>149.4339622641509</v>
      </c>
      <c r="I98" s="29" t="n">
        <v>0.9333</v>
      </c>
      <c r="J98" s="27" t="inlineStr">
        <is>
          <t>P1 - DATA CONFLICT</t>
        </is>
      </c>
      <c r="K98" s="27" t="inlineStr">
        <is>
          <t>CONFLICT - VERIFY BEFORE PO</t>
        </is>
      </c>
    </row>
    <row r="99">
      <c r="A99" s="26" t="inlineStr">
        <is>
          <t>2022-12-31</t>
        </is>
      </c>
      <c r="B99" s="26" t="n">
        <v>2103</v>
      </c>
      <c r="C99" s="27" t="inlineStr">
        <is>
          <t>PhoenixWear MA-02</t>
        </is>
      </c>
      <c r="D99" s="26" t="inlineStr">
        <is>
          <t>Casual</t>
        </is>
      </c>
      <c r="E99" s="26" t="n">
        <v>22</v>
      </c>
      <c r="F99" s="26" t="n">
        <v>4</v>
      </c>
      <c r="G99" s="26" t="n">
        <v>4.666666666666667</v>
      </c>
      <c r="H99" s="28" t="n">
        <v>141.4285714285714</v>
      </c>
      <c r="I99" s="29" t="n">
        <v>0.9333</v>
      </c>
      <c r="J99" s="27" t="inlineStr">
        <is>
          <t>P1 - DATA CONFLICT</t>
        </is>
      </c>
      <c r="K99" s="27" t="inlineStr">
        <is>
          <t>CONFLICT - VERIFY BEFORE PO</t>
        </is>
      </c>
    </row>
    <row r="100">
      <c r="A100" s="26" t="inlineStr">
        <is>
          <t>2022-12-31</t>
        </is>
      </c>
      <c r="B100" s="26" t="n">
        <v>2106</v>
      </c>
      <c r="C100" s="27" t="inlineStr">
        <is>
          <t>PhoenixWear MA-05</t>
        </is>
      </c>
      <c r="D100" s="26" t="inlineStr">
        <is>
          <t>Casual</t>
        </is>
      </c>
      <c r="E100" s="26" t="n">
        <v>11</v>
      </c>
      <c r="F100" s="26" t="n">
        <v>2</v>
      </c>
      <c r="G100" s="26" t="n">
        <v>2.333333333333333</v>
      </c>
      <c r="H100" s="28" t="n">
        <v>141.4285714285714</v>
      </c>
      <c r="I100" s="29" t="n">
        <v>0.9333</v>
      </c>
      <c r="J100" s="27" t="inlineStr">
        <is>
          <t>P1 - DATA CONFLICT</t>
        </is>
      </c>
      <c r="K100" s="27" t="inlineStr">
        <is>
          <t>CONFLICT - VERIFY BEFORE PO</t>
        </is>
      </c>
    </row>
    <row r="101">
      <c r="A101" s="26" t="inlineStr">
        <is>
          <t>2022-12-31</t>
        </is>
      </c>
      <c r="B101" s="26" t="n">
        <v>614</v>
      </c>
      <c r="C101" s="27" t="inlineStr">
        <is>
          <t>SaigonFlex UC-79</t>
        </is>
      </c>
      <c r="D101" s="26" t="inlineStr">
        <is>
          <t>Streetwear</t>
        </is>
      </c>
      <c r="E101" s="26" t="n">
        <v>49</v>
      </c>
      <c r="F101" s="26" t="n">
        <v>11</v>
      </c>
      <c r="G101" s="26" t="n">
        <v>10.66666666666667</v>
      </c>
      <c r="H101" s="28" t="n">
        <v>137.8125</v>
      </c>
      <c r="I101" s="29" t="n">
        <v>0.9333</v>
      </c>
      <c r="J101" s="27" t="inlineStr">
        <is>
          <t>P1 - DATA CONFLICT</t>
        </is>
      </c>
      <c r="K101" s="27" t="inlineStr">
        <is>
          <t>CONFLICT - VERIFY BEFORE PO</t>
        </is>
      </c>
    </row>
    <row r="102">
      <c r="A102" s="26" t="inlineStr">
        <is>
          <t>2022-12-31</t>
        </is>
      </c>
      <c r="B102" s="26" t="n">
        <v>1289</v>
      </c>
      <c r="C102" s="27" t="inlineStr">
        <is>
          <t>VietMode MA-25</t>
        </is>
      </c>
      <c r="D102" s="26" t="inlineStr">
        <is>
          <t>Casual</t>
        </is>
      </c>
      <c r="E102" s="26" t="n">
        <v>6</v>
      </c>
      <c r="F102" s="26" t="n">
        <v>1</v>
      </c>
      <c r="G102" s="26" t="n">
        <v>1.333333333333333</v>
      </c>
      <c r="H102" s="28" t="n">
        <v>135</v>
      </c>
      <c r="I102" s="29" t="n">
        <v>0.9333</v>
      </c>
      <c r="J102" s="27" t="inlineStr">
        <is>
          <t>P1 - DATA CONFLICT</t>
        </is>
      </c>
      <c r="K102" s="27" t="inlineStr">
        <is>
          <t>CONFLICT - VERIFY BEFORE PO</t>
        </is>
      </c>
    </row>
    <row r="103">
      <c r="A103" s="26" t="inlineStr">
        <is>
          <t>2022-12-31</t>
        </is>
      </c>
      <c r="B103" s="26" t="n">
        <v>387</v>
      </c>
      <c r="C103" s="27" t="inlineStr">
        <is>
          <t>LotusWear UC-01</t>
        </is>
      </c>
      <c r="D103" s="26" t="inlineStr">
        <is>
          <t>Streetwear</t>
        </is>
      </c>
      <c r="E103" s="26" t="n">
        <v>6</v>
      </c>
      <c r="F103" s="26" t="n">
        <v>1</v>
      </c>
      <c r="G103" s="26" t="n">
        <v>1.333333333333333</v>
      </c>
      <c r="H103" s="28" t="n">
        <v>135</v>
      </c>
      <c r="I103" s="29" t="n">
        <v>0.9333</v>
      </c>
      <c r="J103" s="27" t="inlineStr">
        <is>
          <t>P1 - DATA CONFLICT</t>
        </is>
      </c>
      <c r="K103" s="27" t="inlineStr">
        <is>
          <t>CONFLICT - VERIFY BEFORE PO</t>
        </is>
      </c>
    </row>
    <row r="104">
      <c r="A104" s="26" t="inlineStr">
        <is>
          <t>2022-12-31</t>
        </is>
      </c>
      <c r="B104" s="26" t="n">
        <v>45</v>
      </c>
      <c r="C104" s="27" t="inlineStr">
        <is>
          <t>DragonWear MA-45</t>
        </is>
      </c>
      <c r="D104" s="26" t="inlineStr">
        <is>
          <t>Casual</t>
        </is>
      </c>
      <c r="E104" s="26" t="n">
        <v>9</v>
      </c>
      <c r="F104" s="26" t="n">
        <v>3</v>
      </c>
      <c r="G104" s="26" t="n">
        <v>2</v>
      </c>
      <c r="H104" s="28" t="n">
        <v>135</v>
      </c>
      <c r="I104" s="29" t="n">
        <v>0.9333</v>
      </c>
      <c r="J104" s="27" t="inlineStr">
        <is>
          <t>P1 - DATA CONFLICT</t>
        </is>
      </c>
      <c r="K104" s="27" t="inlineStr">
        <is>
          <t>CONFLICT - VERIFY BEFORE PO</t>
        </is>
      </c>
    </row>
  </sheetData>
  <autoFilter ref="A4:K104"/>
  <mergeCells count="2">
    <mergeCell ref="A1:J1"/>
    <mergeCell ref="A2:J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2026-10-16T09:28:15Z</dcterms:created>
  <dcterms:modified xmlns:dcterms="http://purl.org/dc/terms/" xmlns:xsi="http://www.w3.org/2001/XMLSchema-instance" xsi:type="dcterms:W3CDTF">2026-10-19T07:42:36Z</dcterms:modified>
</cp:coreProperties>
</file>